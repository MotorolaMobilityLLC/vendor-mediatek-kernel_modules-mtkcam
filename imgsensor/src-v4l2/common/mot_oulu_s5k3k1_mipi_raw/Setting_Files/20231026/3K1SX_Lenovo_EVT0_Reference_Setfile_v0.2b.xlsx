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 data\01 LAKE SETTING\"/>
    </mc:Choice>
  </mc:AlternateContent>
  <bookViews>
    <workbookView xWindow="0" yWindow="0" windowWidth="21705" windowHeight="9840" activeTab="3"/>
  </bookViews>
  <sheets>
    <sheet name="History" sheetId="1" r:id="rId1"/>
    <sheet name="Sequence" sheetId="4" r:id="rId2"/>
    <sheet name="init" sheetId="85" r:id="rId3"/>
    <sheet name="CTS related register" sheetId="111" r:id="rId4"/>
    <sheet name="mode" sheetId="110" r:id="rId5"/>
  </sheets>
  <definedNames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</workbook>
</file>

<file path=xl/calcChain.xml><?xml version="1.0" encoding="utf-8"?>
<calcChain xmlns="http://schemas.openxmlformats.org/spreadsheetml/2006/main">
  <c r="K18" i="110" l="1"/>
  <c r="K19" i="110" s="1"/>
  <c r="I18" i="110"/>
  <c r="K16" i="110"/>
  <c r="I16" i="110"/>
  <c r="K15" i="110"/>
  <c r="L8" i="110" s="1"/>
  <c r="I15" i="110"/>
  <c r="J8" i="110" s="1"/>
  <c r="K12" i="110"/>
  <c r="I12" i="110"/>
  <c r="K11" i="110"/>
  <c r="I11" i="110"/>
  <c r="K10" i="110"/>
  <c r="I10" i="110"/>
  <c r="K9" i="110"/>
  <c r="I9" i="110"/>
  <c r="K5" i="110"/>
  <c r="K8" i="110" s="1"/>
  <c r="I5" i="110"/>
  <c r="I7" i="110" s="1"/>
  <c r="I17" i="110" l="1"/>
  <c r="K17" i="110"/>
  <c r="I19" i="110"/>
  <c r="K7" i="110"/>
  <c r="I8" i="110"/>
  <c r="I6" i="110"/>
  <c r="I13" i="110" s="1"/>
  <c r="I2" i="110" s="1"/>
  <c r="K6" i="110"/>
  <c r="K13" i="110" s="1"/>
  <c r="K2" i="110" s="1"/>
  <c r="K20" i="110" l="1"/>
  <c r="I20" i="110"/>
  <c r="G18" i="110" l="1"/>
  <c r="G16" i="110"/>
  <c r="G15" i="110"/>
  <c r="H8" i="110" s="1"/>
  <c r="G12" i="110"/>
  <c r="G11" i="110"/>
  <c r="G10" i="110"/>
  <c r="G9" i="110"/>
  <c r="G5" i="110"/>
  <c r="G8" i="110" s="1"/>
  <c r="E18" i="110"/>
  <c r="E16" i="110"/>
  <c r="E15" i="110"/>
  <c r="F8" i="110" s="1"/>
  <c r="E12" i="110"/>
  <c r="E11" i="110"/>
  <c r="E10" i="110"/>
  <c r="E9" i="110"/>
  <c r="E5" i="110"/>
  <c r="E6" i="110" s="1"/>
  <c r="E13" i="110" l="1"/>
  <c r="G17" i="110"/>
  <c r="G19" i="110"/>
  <c r="E17" i="110"/>
  <c r="E19" i="110"/>
  <c r="E20" i="110" s="1"/>
  <c r="G6" i="110"/>
  <c r="G13" i="110" s="1"/>
  <c r="G2" i="110" s="1"/>
  <c r="G7" i="110"/>
  <c r="E7" i="110"/>
  <c r="E8" i="110"/>
  <c r="C18" i="110"/>
  <c r="C16" i="110"/>
  <c r="C15" i="110"/>
  <c r="D8" i="110" s="1"/>
  <c r="C12" i="110"/>
  <c r="C11" i="110"/>
  <c r="C10" i="110"/>
  <c r="C9" i="110"/>
  <c r="C5" i="110"/>
  <c r="E2" i="110" l="1"/>
  <c r="G20" i="110"/>
  <c r="C8" i="110"/>
  <c r="C7" i="110"/>
  <c r="C19" i="110"/>
  <c r="C17" i="110"/>
  <c r="C6" i="110"/>
  <c r="C13" i="110" s="1"/>
  <c r="C2" i="110" l="1"/>
  <c r="C20" i="110"/>
</calcChain>
</file>

<file path=xl/sharedStrings.xml><?xml version="1.0" encoding="utf-8"?>
<sst xmlns="http://schemas.openxmlformats.org/spreadsheetml/2006/main" count="2416" uniqueCount="584">
  <si>
    <t>Document version</t>
  </si>
  <si>
    <t>0100</t>
  </si>
  <si>
    <t>Gr</t>
    <phoneticPr fontId="2" type="noConversion"/>
  </si>
  <si>
    <t>0001</t>
    <phoneticPr fontId="2" type="noConversion"/>
  </si>
  <si>
    <t>History</t>
    <phoneticPr fontId="2" type="noConversion"/>
  </si>
  <si>
    <t>Date</t>
    <phoneticPr fontId="2" type="noConversion"/>
  </si>
  <si>
    <t xml:space="preserve">Description </t>
    <phoneticPr fontId="2" type="noConversion"/>
  </si>
  <si>
    <t>Author(s)</t>
    <phoneticPr fontId="2" type="noConversion"/>
  </si>
  <si>
    <t>0000</t>
    <phoneticPr fontId="2" type="noConversion"/>
  </si>
  <si>
    <t>* Initial Sequence</t>
  </si>
  <si>
    <t xml:space="preserve"> // Page pointer HW</t>
  </si>
  <si>
    <t xml:space="preserve"> // Mode setting</t>
  </si>
  <si>
    <t>MIPI_output_speed :</t>
    <phoneticPr fontId="2" type="noConversion"/>
  </si>
  <si>
    <t>px</t>
    <phoneticPr fontId="2" type="noConversion"/>
  </si>
  <si>
    <t>First Pixel :</t>
    <phoneticPr fontId="2" type="noConversion"/>
  </si>
  <si>
    <t>First</t>
    <phoneticPr fontId="2" type="noConversion"/>
  </si>
  <si>
    <t>Default</t>
    <phoneticPr fontId="2" type="noConversion"/>
  </si>
  <si>
    <t>Full-Address</t>
    <phoneticPr fontId="2" type="noConversion"/>
  </si>
  <si>
    <t>Address</t>
    <phoneticPr fontId="2" type="noConversion"/>
  </si>
  <si>
    <r>
      <rPr>
        <b/>
        <sz val="16"/>
        <color theme="1"/>
        <rFont val="Calibri"/>
        <family val="3"/>
        <charset val="129"/>
        <scheme val="minor"/>
      </rPr>
      <t xml:space="preserve">[How to Check Streaming off] </t>
    </r>
    <r>
      <rPr>
        <sz val="16"/>
        <color theme="1"/>
        <rFont val="Calibri"/>
        <family val="3"/>
        <charset val="129"/>
        <scheme val="minor"/>
      </rPr>
      <t xml:space="preserve">Please check 0x0005 </t>
    </r>
    <r>
      <rPr>
        <sz val="16"/>
        <color rgb="FF0070C0"/>
        <rFont val="Calibri"/>
        <family val="3"/>
        <charset val="129"/>
        <scheme val="minor"/>
      </rPr>
      <t>if this value is  0xff, it means streaming off</t>
    </r>
    <phoneticPr fontId="2" type="noConversion"/>
  </si>
  <si>
    <t>ms</t>
    <phoneticPr fontId="2" type="noConversion"/>
  </si>
  <si>
    <t xml:space="preserve"> // Setfile Version</t>
    <phoneticPr fontId="2" type="noConversion"/>
  </si>
  <si>
    <t>0A02</t>
    <phoneticPr fontId="2" type="noConversion"/>
  </si>
  <si>
    <t>Setfile version</t>
    <phoneticPr fontId="2" type="noConversion"/>
  </si>
  <si>
    <t>6028</t>
    <phoneticPr fontId="2" type="noConversion"/>
  </si>
  <si>
    <t>//Mode</t>
    <phoneticPr fontId="2" type="noConversion"/>
  </si>
  <si>
    <t>Data (Hex)</t>
    <phoneticPr fontId="2" type="noConversion"/>
  </si>
  <si>
    <t>Summary</t>
    <phoneticPr fontId="2" type="noConversion"/>
  </si>
  <si>
    <t>ExtClk :</t>
    <phoneticPr fontId="2" type="noConversion"/>
  </si>
  <si>
    <t>MHz</t>
    <phoneticPr fontId="2" type="noConversion"/>
  </si>
  <si>
    <t>Vt_pix_clk :</t>
    <phoneticPr fontId="2" type="noConversion"/>
  </si>
  <si>
    <t>DBR_clk:</t>
    <phoneticPr fontId="2" type="noConversion"/>
  </si>
  <si>
    <t>Crop_Width :</t>
    <phoneticPr fontId="2" type="noConversion"/>
  </si>
  <si>
    <t>Crop_Height :</t>
    <phoneticPr fontId="2" type="noConversion"/>
  </si>
  <si>
    <t>Output_Width :</t>
    <phoneticPr fontId="2" type="noConversion"/>
  </si>
  <si>
    <t>Output_Height :</t>
    <phoneticPr fontId="2" type="noConversion"/>
  </si>
  <si>
    <t>Frame rate :</t>
    <phoneticPr fontId="2" type="noConversion"/>
  </si>
  <si>
    <t>fps</t>
    <phoneticPr fontId="2" type="noConversion"/>
  </si>
  <si>
    <t>Output format :</t>
    <phoneticPr fontId="2" type="noConversion"/>
  </si>
  <si>
    <t>Raw10</t>
    <phoneticPr fontId="2" type="noConversion"/>
  </si>
  <si>
    <t>lane</t>
    <phoneticPr fontId="2" type="noConversion"/>
  </si>
  <si>
    <t>1-H size</t>
    <phoneticPr fontId="2" type="noConversion"/>
  </si>
  <si>
    <t>H-blank :</t>
    <phoneticPr fontId="2" type="noConversion"/>
  </si>
  <si>
    <t>1-V size</t>
    <phoneticPr fontId="2" type="noConversion"/>
  </si>
  <si>
    <t>line</t>
    <phoneticPr fontId="2" type="noConversion"/>
  </si>
  <si>
    <t>2000</t>
    <phoneticPr fontId="2" type="noConversion"/>
  </si>
  <si>
    <t>PDAF Tail Size</t>
    <phoneticPr fontId="2" type="noConversion"/>
  </si>
  <si>
    <t>MIPI Lanes :</t>
    <phoneticPr fontId="2" type="noConversion"/>
  </si>
  <si>
    <t xml:space="preserve"> // Reset &amp; Clock Set</t>
    <phoneticPr fontId="2" type="noConversion"/>
  </si>
  <si>
    <t>4000013E</t>
  </si>
  <si>
    <t>013E</t>
  </si>
  <si>
    <t>00FA</t>
  </si>
  <si>
    <t>4000030C</t>
  </si>
  <si>
    <t>030C</t>
  </si>
  <si>
    <t>000C</t>
  </si>
  <si>
    <t>4000030E</t>
  </si>
  <si>
    <t>030E</t>
  </si>
  <si>
    <t>4000030A</t>
  </si>
  <si>
    <t>030A</t>
  </si>
  <si>
    <t>4000034A</t>
  </si>
  <si>
    <t>034A</t>
  </si>
  <si>
    <t>4000034C</t>
  </si>
  <si>
    <t>034C</t>
  </si>
  <si>
    <t>4000034E</t>
  </si>
  <si>
    <t>034E</t>
  </si>
  <si>
    <t>0A0A</t>
  </si>
  <si>
    <t>4000011C</t>
  </si>
  <si>
    <t>011C</t>
  </si>
  <si>
    <t>40000D00</t>
  </si>
  <si>
    <t>0D00</t>
  </si>
  <si>
    <t>40000D02</t>
  </si>
  <si>
    <t>0D02</t>
  </si>
  <si>
    <t>40000D04</t>
  </si>
  <si>
    <t>0D04</t>
  </si>
  <si>
    <t>40000B06</t>
  </si>
  <si>
    <t>0B06</t>
  </si>
  <si>
    <t>40000B08</t>
  </si>
  <si>
    <t>0B08</t>
  </si>
  <si>
    <t>000E</t>
  </si>
  <si>
    <t>002A</t>
  </si>
  <si>
    <t>000F</t>
  </si>
  <si>
    <t>002D</t>
  </si>
  <si>
    <t>00C0</t>
  </si>
  <si>
    <t>2000</t>
  </si>
  <si>
    <t>40000136</t>
  </si>
  <si>
    <t>0136</t>
  </si>
  <si>
    <t>40000304</t>
  </si>
  <si>
    <t>0304</t>
  </si>
  <si>
    <t>0003</t>
  </si>
  <si>
    <t>0002</t>
  </si>
  <si>
    <t>40000306</t>
  </si>
  <si>
    <t>0306</t>
  </si>
  <si>
    <t>0000</t>
  </si>
  <si>
    <t>40000302</t>
  </si>
  <si>
    <t>0302</t>
  </si>
  <si>
    <t>0001</t>
  </si>
  <si>
    <t>40000300</t>
  </si>
  <si>
    <t>0300</t>
  </si>
  <si>
    <t>0008</t>
  </si>
  <si>
    <t>40000310</t>
  </si>
  <si>
    <t>0310</t>
  </si>
  <si>
    <t>40000312</t>
  </si>
  <si>
    <t>0312</t>
  </si>
  <si>
    <t>40000308</t>
  </si>
  <si>
    <t>0308</t>
  </si>
  <si>
    <t>0050</t>
  </si>
  <si>
    <t>40000344</t>
  </si>
  <si>
    <t>0344</t>
  </si>
  <si>
    <t>0200</t>
  </si>
  <si>
    <t>40000348</t>
  </si>
  <si>
    <t>0348</t>
  </si>
  <si>
    <t>40000346</t>
  </si>
  <si>
    <t>0346</t>
  </si>
  <si>
    <t>40000350</t>
  </si>
  <si>
    <t>0350</t>
  </si>
  <si>
    <t>40000352</t>
  </si>
  <si>
    <t>0352</t>
  </si>
  <si>
    <t>0004</t>
  </si>
  <si>
    <t>1000</t>
  </si>
  <si>
    <t>4000</t>
  </si>
  <si>
    <t>0900</t>
  </si>
  <si>
    <t>40000900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</si>
  <si>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</si>
  <si>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</si>
  <si>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</si>
  <si>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</si>
  <si>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</si>
  <si>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</si>
  <si>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</si>
  <si>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</si>
  <si>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40000342</t>
  </si>
  <si>
    <t>0342</t>
  </si>
  <si>
    <t>40000340</t>
  </si>
  <si>
    <t>0340</t>
  </si>
  <si>
    <t>40000702</t>
  </si>
  <si>
    <t>0702</t>
  </si>
  <si>
    <t>40000112</t>
  </si>
  <si>
    <t>0112</t>
  </si>
  <si>
    <t>40000114</t>
  </si>
  <si>
    <t>0114</t>
  </si>
  <si>
    <t>40000116</t>
  </si>
  <si>
    <t>0116</t>
  </si>
  <si>
    <t>40000118</t>
  </si>
  <si>
    <t>0118</t>
  </si>
  <si>
    <t>0101</t>
  </si>
  <si>
    <t>0801</t>
  </si>
  <si>
    <t>0005</t>
  </si>
  <si>
    <t>0021</t>
  </si>
  <si>
    <t>0013</t>
  </si>
  <si>
    <t>0025</t>
  </si>
  <si>
    <t>0007</t>
  </si>
  <si>
    <t>0404</t>
  </si>
  <si>
    <t>0400</t>
  </si>
  <si>
    <t>0111</t>
  </si>
  <si>
    <t>00F8</t>
  </si>
  <si>
    <t>016B</t>
  </si>
  <si>
    <t>2B00</t>
  </si>
  <si>
    <t>0042</t>
  </si>
  <si>
    <t xml:space="preserve"> // 3K1(Sensor ID)</t>
    <phoneticPr fontId="2" type="noConversion"/>
  </si>
  <si>
    <t>30B1</t>
    <phoneticPr fontId="2" type="noConversion"/>
  </si>
  <si>
    <t>6010</t>
    <phoneticPr fontId="2" type="noConversion"/>
  </si>
  <si>
    <t>p5</t>
    <phoneticPr fontId="2" type="noConversion"/>
  </si>
  <si>
    <t>4280</t>
  </si>
  <si>
    <t>00A3</t>
  </si>
  <si>
    <t>03C0</t>
  </si>
  <si>
    <t>M1</t>
    <phoneticPr fontId="2" type="noConversion"/>
  </si>
  <si>
    <t>M2</t>
    <phoneticPr fontId="2" type="noConversion"/>
  </si>
  <si>
    <t>M3</t>
    <phoneticPr fontId="2" type="noConversion"/>
  </si>
  <si>
    <t>0048</t>
  </si>
  <si>
    <t>13DE</t>
  </si>
  <si>
    <t>AFC8</t>
  </si>
  <si>
    <t>1480</t>
  </si>
  <si>
    <t>1488</t>
  </si>
  <si>
    <t>2AF0</t>
  </si>
  <si>
    <t>327E</t>
  </si>
  <si>
    <t>021C</t>
  </si>
  <si>
    <t>3288</t>
  </si>
  <si>
    <t>32A0</t>
  </si>
  <si>
    <t>32AC</t>
  </si>
  <si>
    <t>3384</t>
  </si>
  <si>
    <t>7E24</t>
  </si>
  <si>
    <t>33A8</t>
  </si>
  <si>
    <t>3706</t>
  </si>
  <si>
    <t>8010</t>
  </si>
  <si>
    <t>3710</t>
  </si>
  <si>
    <t>3AC4</t>
  </si>
  <si>
    <t>3AC8</t>
  </si>
  <si>
    <t>3BAE</t>
  </si>
  <si>
    <t>3BC4</t>
  </si>
  <si>
    <t>3C06</t>
  </si>
  <si>
    <t>3C1C</t>
  </si>
  <si>
    <t>3C5E</t>
  </si>
  <si>
    <t>3C74</t>
  </si>
  <si>
    <t>3CB6</t>
  </si>
  <si>
    <t>3CCC</t>
  </si>
  <si>
    <t>3D0E</t>
  </si>
  <si>
    <t>3D24</t>
  </si>
  <si>
    <t>3D60</t>
  </si>
  <si>
    <t>4172</t>
  </si>
  <si>
    <t>4218</t>
  </si>
  <si>
    <t>4260</t>
  </si>
  <si>
    <t>4264</t>
  </si>
  <si>
    <t>4268</t>
  </si>
  <si>
    <t>42D6</t>
  </si>
  <si>
    <t>42E0</t>
  </si>
  <si>
    <t>4500</t>
  </si>
  <si>
    <t>F5B0</t>
  </si>
  <si>
    <t>F5B2</t>
  </si>
  <si>
    <t>F5B8</t>
  </si>
  <si>
    <t>4690</t>
  </si>
  <si>
    <t>4698</t>
  </si>
  <si>
    <t>9034</t>
  </si>
  <si>
    <t>9036</t>
  </si>
  <si>
    <t>03BA</t>
  </si>
  <si>
    <t>2BAC</t>
  </si>
  <si>
    <t>003D</t>
  </si>
  <si>
    <t>2C2A</t>
  </si>
  <si>
    <t>038F</t>
  </si>
  <si>
    <t>00C0</t>
    <phoneticPr fontId="2" type="noConversion"/>
  </si>
  <si>
    <t xml:space="preserve"> // OTP page select (192-page)</t>
    <phoneticPr fontId="2" type="noConversion"/>
  </si>
  <si>
    <t>20001350</t>
  </si>
  <si>
    <t>20001352</t>
  </si>
  <si>
    <t>40000404</t>
  </si>
  <si>
    <t>4000081C</t>
  </si>
  <si>
    <t>4000081E</t>
  </si>
  <si>
    <t>200013DE</t>
  </si>
  <si>
    <t>20001480</t>
  </si>
  <si>
    <t>20001488</t>
  </si>
  <si>
    <t>20002A64</t>
  </si>
  <si>
    <t>20002A82</t>
  </si>
  <si>
    <t>20002AF0</t>
  </si>
  <si>
    <t>20002AF2</t>
  </si>
  <si>
    <t>20002B00</t>
  </si>
  <si>
    <t>20002BAC</t>
  </si>
  <si>
    <t>20002BAE</t>
  </si>
  <si>
    <t>20002BB0</t>
  </si>
  <si>
    <t>20002C2A</t>
  </si>
  <si>
    <t>20002C2C</t>
  </si>
  <si>
    <t>2000327E</t>
  </si>
  <si>
    <t>20003288</t>
  </si>
  <si>
    <t>200032A0</t>
  </si>
  <si>
    <t>200032A2</t>
  </si>
  <si>
    <t>20003384</t>
  </si>
  <si>
    <t>200033A8</t>
  </si>
  <si>
    <t>20003706</t>
  </si>
  <si>
    <t>20003708</t>
  </si>
  <si>
    <t>20003710</t>
  </si>
  <si>
    <t>20003AC4</t>
  </si>
  <si>
    <t>20003AC8</t>
  </si>
  <si>
    <t>20003BAE</t>
  </si>
  <si>
    <t>20003BC4</t>
  </si>
  <si>
    <t>20003C06</t>
  </si>
  <si>
    <t>20003C1C</t>
  </si>
  <si>
    <t>20003C5E</t>
  </si>
  <si>
    <t>20003C74</t>
  </si>
  <si>
    <t>20003CB6</t>
  </si>
  <si>
    <t>20003CCC</t>
  </si>
  <si>
    <t>20003D0E</t>
  </si>
  <si>
    <t>20003D24</t>
  </si>
  <si>
    <t>20004172</t>
  </si>
  <si>
    <t>20004174</t>
  </si>
  <si>
    <t>20004176</t>
  </si>
  <si>
    <t>20004178</t>
  </si>
  <si>
    <t>2000417A</t>
  </si>
  <si>
    <t>2000417C</t>
  </si>
  <si>
    <t>2000417E</t>
  </si>
  <si>
    <t>20004180</t>
  </si>
  <si>
    <t>20004182</t>
  </si>
  <si>
    <t>20004184</t>
  </si>
  <si>
    <t>20004186</t>
  </si>
  <si>
    <t>20004188</t>
  </si>
  <si>
    <t>2000418A</t>
  </si>
  <si>
    <t>2000418C</t>
  </si>
  <si>
    <t>2000418E</t>
  </si>
  <si>
    <t>20004190</t>
  </si>
  <si>
    <t>20004264</t>
  </si>
  <si>
    <t>20004268</t>
  </si>
  <si>
    <t>200042E0</t>
  </si>
  <si>
    <t>200042E2</t>
  </si>
  <si>
    <t>20004698</t>
  </si>
  <si>
    <t>20009036</t>
  </si>
  <si>
    <t>20009038</t>
  </si>
  <si>
    <t>2000903A</t>
  </si>
  <si>
    <t>2000903C</t>
  </si>
  <si>
    <t>2000903E</t>
  </si>
  <si>
    <t>20009040</t>
  </si>
  <si>
    <t>20009042</t>
  </si>
  <si>
    <t>20009044</t>
  </si>
  <si>
    <t>20009046</t>
  </si>
  <si>
    <t>20009048</t>
  </si>
  <si>
    <t>2000904A</t>
  </si>
  <si>
    <t>6028</t>
  </si>
  <si>
    <t>602A</t>
  </si>
  <si>
    <t>6F12</t>
  </si>
  <si>
    <t>081C</t>
  </si>
  <si>
    <t>081E</t>
  </si>
  <si>
    <t>1350</t>
  </si>
  <si>
    <t>49F0</t>
  </si>
  <si>
    <t>0301</t>
  </si>
  <si>
    <t>2A64</t>
  </si>
  <si>
    <t>2A82</t>
  </si>
  <si>
    <t>FFFF</t>
  </si>
  <si>
    <t>0120</t>
  </si>
  <si>
    <t>6214</t>
    <phoneticPr fontId="2" type="noConversion"/>
  </si>
  <si>
    <t>6218</t>
    <phoneticPr fontId="2" type="noConversion"/>
  </si>
  <si>
    <t>FF7D</t>
    <phoneticPr fontId="2" type="noConversion"/>
  </si>
  <si>
    <t>00F0</t>
  </si>
  <si>
    <t>82B8</t>
  </si>
  <si>
    <t>2DE9</t>
  </si>
  <si>
    <t>F041</t>
  </si>
  <si>
    <t>4FD1</t>
  </si>
  <si>
    <t>B6F8</t>
  </si>
  <si>
    <t>4D49</t>
  </si>
  <si>
    <t>B1F8</t>
  </si>
  <si>
    <t>020A</t>
  </si>
  <si>
    <t>4C48</t>
  </si>
  <si>
    <t>80F8</t>
  </si>
  <si>
    <t>C020</t>
  </si>
  <si>
    <t>91F8</t>
  </si>
  <si>
    <t>C220</t>
  </si>
  <si>
    <t>B82F</t>
  </si>
  <si>
    <t>7B18</t>
  </si>
  <si>
    <t>9CF8</t>
  </si>
  <si>
    <t>434C</t>
  </si>
  <si>
    <t>434E</t>
  </si>
  <si>
    <t>434A</t>
  </si>
  <si>
    <t>4FF0</t>
  </si>
  <si>
    <t>200C</t>
  </si>
  <si>
    <t>C08A</t>
  </si>
  <si>
    <t>A51E</t>
  </si>
  <si>
    <t>B71C</t>
  </si>
  <si>
    <t>931C</t>
  </si>
  <si>
    <t>BCEB</t>
  </si>
  <si>
    <t>102F</t>
  </si>
  <si>
    <t>0FD1</t>
  </si>
  <si>
    <t>087A</t>
  </si>
  <si>
    <t>087B</t>
  </si>
  <si>
    <t>18B1</t>
  </si>
  <si>
    <t>C889</t>
  </si>
  <si>
    <t>FAE7</t>
  </si>
  <si>
    <t>220C</t>
  </si>
  <si>
    <t>0DD1</t>
  </si>
  <si>
    <t>087D</t>
  </si>
  <si>
    <t>C88A</t>
  </si>
  <si>
    <t>087E</t>
  </si>
  <si>
    <t>28B1</t>
  </si>
  <si>
    <t>488B</t>
  </si>
  <si>
    <t>BDE8</t>
  </si>
  <si>
    <t>F081</t>
  </si>
  <si>
    <t>F8E7</t>
  </si>
  <si>
    <t>06D1</t>
  </si>
  <si>
    <t>B0F8</t>
  </si>
  <si>
    <t>E001</t>
  </si>
  <si>
    <t>C1F8</t>
  </si>
  <si>
    <t>5FB8</t>
  </si>
  <si>
    <t>10B5</t>
  </si>
  <si>
    <t>13D1</t>
  </si>
  <si>
    <t>1E4C</t>
  </si>
  <si>
    <t>94F8</t>
  </si>
  <si>
    <t>0ED1</t>
  </si>
  <si>
    <t>0AD0</t>
  </si>
  <si>
    <t>56F8</t>
  </si>
  <si>
    <t>06D0</t>
  </si>
  <si>
    <t>C007</t>
  </si>
  <si>
    <t>02D1</t>
  </si>
  <si>
    <t>84F8</t>
  </si>
  <si>
    <t>10BD</t>
  </si>
  <si>
    <t>1A4A</t>
  </si>
  <si>
    <t>C0F8</t>
  </si>
  <si>
    <t>511A</t>
  </si>
  <si>
    <t>A0F8</t>
  </si>
  <si>
    <t>90F8</t>
  </si>
  <si>
    <t>F820</t>
  </si>
  <si>
    <t>47F6</t>
  </si>
  <si>
    <t>40F8</t>
  </si>
  <si>
    <t>AFF2</t>
  </si>
  <si>
    <t>1B10</t>
  </si>
  <si>
    <t>144C</t>
  </si>
  <si>
    <t>E062</t>
  </si>
  <si>
    <t>0D48</t>
  </si>
  <si>
    <t>38B1</t>
  </si>
  <si>
    <t>6F01</t>
  </si>
  <si>
    <t>A36E</t>
  </si>
  <si>
    <t>0F48</t>
  </si>
  <si>
    <t>0F49</t>
  </si>
  <si>
    <t>E064</t>
  </si>
  <si>
    <t>0C30</t>
  </si>
  <si>
    <t>F470</t>
  </si>
  <si>
    <t>FF00</t>
  </si>
  <si>
    <t>EA00</t>
  </si>
  <si>
    <t>13C0</t>
  </si>
  <si>
    <t>0BE7</t>
  </si>
  <si>
    <t>42F2</t>
  </si>
  <si>
    <t>5D6C</t>
  </si>
  <si>
    <t>C0F2</t>
  </si>
  <si>
    <t>010C</t>
  </si>
  <si>
    <t>40F6</t>
  </si>
  <si>
    <t>693C</t>
  </si>
  <si>
    <t>DF1C</t>
  </si>
  <si>
    <t>48F6</t>
  </si>
  <si>
    <t>274C</t>
  </si>
  <si>
    <t>14BA</t>
  </si>
  <si>
    <t>2AE6</t>
  </si>
  <si>
    <t>0FA0</t>
  </si>
  <si>
    <t>32A4</t>
  </si>
  <si>
    <t>2B0A</t>
  </si>
  <si>
    <t>32A8</t>
  </si>
  <si>
    <t>DFCD</t>
  </si>
  <si>
    <t>337A</t>
  </si>
  <si>
    <t>006F</t>
  </si>
  <si>
    <t>3A50</t>
  </si>
  <si>
    <t>193C</t>
  </si>
  <si>
    <t>3A5E</t>
  </si>
  <si>
    <t>3B5A</t>
  </si>
  <si>
    <t>3D66</t>
  </si>
  <si>
    <t>001E</t>
  </si>
  <si>
    <t>000D</t>
  </si>
  <si>
    <t>6B5E</t>
  </si>
  <si>
    <t>6B60</t>
  </si>
  <si>
    <t>0FFF</t>
  </si>
  <si>
    <t>6B72</t>
  </si>
  <si>
    <t>6B76</t>
  </si>
  <si>
    <t>F466</t>
  </si>
  <si>
    <t>F468</t>
  </si>
  <si>
    <t>F472</t>
  </si>
  <si>
    <t>001F</t>
  </si>
  <si>
    <t>FA08</t>
  </si>
  <si>
    <t>FA0A</t>
  </si>
  <si>
    <t>8E70</t>
  </si>
  <si>
    <t>0028</t>
  </si>
  <si>
    <t>8008</t>
  </si>
  <si>
    <t>0068</t>
  </si>
  <si>
    <t>8128</t>
  </si>
  <si>
    <t>7828</t>
  </si>
  <si>
    <t>7628</t>
  </si>
  <si>
    <t>8270</t>
  </si>
  <si>
    <t>0171</t>
  </si>
  <si>
    <t>0846</t>
  </si>
  <si>
    <t>4248</t>
  </si>
  <si>
    <t>4149</t>
  </si>
  <si>
    <t>4868</t>
  </si>
  <si>
    <t>2080</t>
  </si>
  <si>
    <t>2880</t>
  </si>
  <si>
    <t>3080</t>
  </si>
  <si>
    <t>4889</t>
  </si>
  <si>
    <t>3880</t>
  </si>
  <si>
    <t>0020</t>
  </si>
  <si>
    <t>1080</t>
  </si>
  <si>
    <t>13E0</t>
  </si>
  <si>
    <t>0869</t>
  </si>
  <si>
    <t>1880</t>
  </si>
  <si>
    <t>2648</t>
  </si>
  <si>
    <t>2449</t>
  </si>
  <si>
    <t>7802</t>
  </si>
  <si>
    <t>7047</t>
  </si>
  <si>
    <t>0128</t>
  </si>
  <si>
    <t>3607</t>
  </si>
  <si>
    <t>3407</t>
  </si>
  <si>
    <t>3507</t>
  </si>
  <si>
    <t>3907</t>
  </si>
  <si>
    <t>1348</t>
  </si>
  <si>
    <t>1949</t>
  </si>
  <si>
    <t>0017</t>
  </si>
  <si>
    <t>0417</t>
  </si>
  <si>
    <t>1848</t>
  </si>
  <si>
    <t>0321</t>
  </si>
  <si>
    <t>0240</t>
  </si>
  <si>
    <t>7300</t>
  </si>
  <si>
    <t>6065</t>
  </si>
  <si>
    <t>0078</t>
  </si>
  <si>
    <t>0022</t>
  </si>
  <si>
    <t>9847</t>
  </si>
  <si>
    <t>0860</t>
  </si>
  <si>
    <t>7700</t>
  </si>
  <si>
    <t>4740</t>
  </si>
  <si>
    <t>5120</t>
  </si>
  <si>
    <t>9E00</t>
  </si>
  <si>
    <t>9030</t>
  </si>
  <si>
    <t>9054</t>
  </si>
  <si>
    <t>2001</t>
  </si>
  <si>
    <t>4420</t>
  </si>
  <si>
    <t>9050</t>
  </si>
  <si>
    <t>6047</t>
  </si>
  <si>
    <t>0018</t>
  </si>
  <si>
    <t>1492</t>
  </si>
  <si>
    <t>3716</t>
  </si>
  <si>
    <t>0201</t>
  </si>
  <si>
    <t>3E00</t>
  </si>
  <si>
    <t>0011</t>
  </si>
  <si>
    <t>20001492</t>
  </si>
  <si>
    <t>200014BA</t>
  </si>
  <si>
    <t>20002AE6</t>
  </si>
  <si>
    <t>20002AE8</t>
  </si>
  <si>
    <t>200032A4</t>
  </si>
  <si>
    <t>200032A8</t>
  </si>
  <si>
    <t>200032AC</t>
  </si>
  <si>
    <t>2000337A</t>
  </si>
  <si>
    <t>20003716</t>
  </si>
  <si>
    <t>20003A50</t>
  </si>
  <si>
    <t>20003A5E</t>
  </si>
  <si>
    <t>20003B5A</t>
  </si>
  <si>
    <t>20003D60</t>
  </si>
  <si>
    <t>20003D66</t>
  </si>
  <si>
    <t>20004218</t>
  </si>
  <si>
    <t>20004260</t>
  </si>
  <si>
    <t>20004262</t>
  </si>
  <si>
    <t>200042D6</t>
  </si>
  <si>
    <t>20004500</t>
  </si>
  <si>
    <t>20004502</t>
  </si>
  <si>
    <t>20004504</t>
  </si>
  <si>
    <t>20004506</t>
  </si>
  <si>
    <t>20004508</t>
  </si>
  <si>
    <t>2000450A</t>
  </si>
  <si>
    <t>20004690</t>
  </si>
  <si>
    <t>20009034</t>
  </si>
  <si>
    <t>4000001E</t>
  </si>
  <si>
    <t>40006B5E</t>
  </si>
  <si>
    <t>40006B60</t>
  </si>
  <si>
    <t>40006B72</t>
  </si>
  <si>
    <t>40006B76</t>
  </si>
  <si>
    <t>4000F466</t>
  </si>
  <si>
    <t>4000F468</t>
  </si>
  <si>
    <t>4000F472</t>
  </si>
  <si>
    <t>4000FA08</t>
  </si>
  <si>
    <t>4000FA0A</t>
  </si>
  <si>
    <t>Shine_v00</t>
    <phoneticPr fontId="2" type="noConversion"/>
  </si>
  <si>
    <t>Init.</t>
    <phoneticPr fontId="2" type="noConversion"/>
  </si>
  <si>
    <t>0060</t>
  </si>
  <si>
    <t>0EAF</t>
  </si>
  <si>
    <t>0B0F</t>
  </si>
  <si>
    <t>0E40</t>
  </si>
  <si>
    <t>0AB0</t>
  </si>
  <si>
    <t>01A0</t>
  </si>
  <si>
    <t>09BF</t>
  </si>
  <si>
    <t>0804</t>
  </si>
  <si>
    <t>VC1) 456x680</t>
    <phoneticPr fontId="2" type="noConversion"/>
  </si>
  <si>
    <t>VC1) 456x504</t>
    <phoneticPr fontId="2" type="noConversion"/>
  </si>
  <si>
    <t>4000</t>
    <phoneticPr fontId="2" type="noConversion"/>
  </si>
  <si>
    <t xml:space="preserve"> // TnP &amp; Analog setting</t>
    <phoneticPr fontId="2" type="noConversion"/>
  </si>
  <si>
    <t>00E1</t>
    <phoneticPr fontId="2" type="noConversion"/>
  </si>
  <si>
    <r>
      <t>V blank time</t>
    </r>
    <r>
      <rPr>
        <sz val="11"/>
        <color theme="1"/>
        <rFont val="Calibri"/>
        <family val="2"/>
      </rPr>
      <t xml:space="preserve"> (System)</t>
    </r>
    <phoneticPr fontId="2" type="noConversion"/>
  </si>
  <si>
    <r>
      <t>V-blank</t>
    </r>
    <r>
      <rPr>
        <sz val="11"/>
        <color theme="1"/>
        <rFont val="Calibri"/>
        <family val="2"/>
      </rPr>
      <t xml:space="preserve"> (System)</t>
    </r>
    <phoneticPr fontId="2" type="noConversion"/>
  </si>
  <si>
    <t>0000 0002</t>
    <phoneticPr fontId="2" type="noConversion"/>
  </si>
  <si>
    <t>0002</t>
    <phoneticPr fontId="2" type="noConversion"/>
  </si>
  <si>
    <t>602A</t>
    <phoneticPr fontId="2" type="noConversion"/>
  </si>
  <si>
    <t>9038</t>
    <phoneticPr fontId="2" type="noConversion"/>
  </si>
  <si>
    <t>(20009034)</t>
    <phoneticPr fontId="2" type="noConversion"/>
  </si>
  <si>
    <t>1800</t>
  </si>
  <si>
    <t>00C7</t>
  </si>
  <si>
    <t>0001</t>
    <phoneticPr fontId="2" type="noConversion"/>
  </si>
  <si>
    <t>//$MV4[MCLK:24,mipi_phy_type:Dphy,mipi_lane:4,mipi_datarate:1800]
//$MV4_MainData[width:3648,height:2736,data_type:MIPI_RAW10 (0x2B)]
//$MV4_InterleavedData[isUsed:1,width:456,height:680,data_type:MIPI_RAW10 (0x2B),virtual_channel:1]
//$MV4_Start[]</t>
    <phoneticPr fontId="2" type="noConversion"/>
  </si>
  <si>
    <t>//$MV4[MCLK:24,mipi_phy_type:Dphy,mipi_lane:4,mipi_datarate:1800]
//$MV4_MainData[width:3648,height:2052,data_type:MIPI_RAW10 (0x2B)]
//$MV4_InterleavedData[isUsed:1,width:456,height:504,data_type:MIPI_RAW10 (0x2B),virtual_channel:1]
//$MV4_Start[]</t>
    <phoneticPr fontId="2" type="noConversion"/>
  </si>
  <si>
    <t>0000</t>
    <phoneticPr fontId="2" type="noConversion"/>
  </si>
  <si>
    <t>40000BCC</t>
    <phoneticPr fontId="2" type="noConversion"/>
  </si>
  <si>
    <t>0BCC</t>
    <phoneticPr fontId="2" type="noConversion"/>
  </si>
  <si>
    <t>0000</t>
    <phoneticPr fontId="2" type="noConversion"/>
  </si>
  <si>
    <t>13C0</t>
    <phoneticPr fontId="2" type="noConversion"/>
  </si>
  <si>
    <t>0A3C</t>
    <phoneticPr fontId="2" type="noConversion"/>
  </si>
  <si>
    <t>147A</t>
    <phoneticPr fontId="2" type="noConversion"/>
  </si>
  <si>
    <t>S5K3K1SX_EVT0_Reference_Setfile_v0.2a</t>
    <phoneticPr fontId="2" type="noConversion"/>
  </si>
  <si>
    <t>2023.08.10</t>
  </si>
  <si>
    <r>
      <t>&gt; Added Modes</t>
    </r>
    <r>
      <rPr>
        <sz val="11"/>
        <rFont val="Calibri"/>
        <family val="2"/>
      </rPr>
      <t xml:space="preserve">
   - Dphy 4-lane 1800Mbps Full 3648x2736 30fps
   - Dphy 4-lane 1800Mbps Full 3648x2052 30fps / 60fps</t>
    </r>
  </si>
  <si>
    <t>Emily</t>
  </si>
  <si>
    <t>新项目建议增加streaming off check的代码，如下，为了解决没有真正streaming off就使用新的命令引发报错：0x0005=0xFF，表示真正进入SW standby。</t>
    <phoneticPr fontId="0" type="noConversion"/>
  </si>
  <si>
    <t>MTK平台参考如下代码</t>
  </si>
  <si>
    <t>高通平台参考如下代码</t>
  </si>
  <si>
    <r>
      <t>01</t>
    </r>
    <r>
      <rPr>
        <sz val="11"/>
        <color rgb="FFFF0000"/>
        <rFont val="Calibri"/>
        <family val="2"/>
      </rPr>
      <t>00</t>
    </r>
  </si>
  <si>
    <t xml:space="preserve"> // Streaming on，0103 for mirror&amp;flip</t>
  </si>
  <si>
    <t>//init</t>
  </si>
  <si>
    <t>//delay 5ms</t>
  </si>
  <si>
    <t>00B4</t>
    <phoneticPr fontId="2" type="noConversion"/>
  </si>
  <si>
    <t>1680</t>
    <phoneticPr fontId="2" type="noConversion"/>
  </si>
  <si>
    <t>11FA</t>
    <phoneticPr fontId="2" type="noConversion"/>
  </si>
  <si>
    <t>08FC</t>
    <phoneticPr fontId="2" type="noConversion"/>
  </si>
  <si>
    <t>//$MV4[MCLK:24,mipi_phy_type:Dphy,mipi_lane:4,mipi_datarate:1440]
//$MV4_MainData[width:3648,height:2736,data_type:MIPI_RAW10 (0x2B)]
//$MV4_InterleavedData[isUsed:1,width:456,height:680,data_type:MIPI_RAW10 (0x2B),virtual_channel:1]
//$MV4_Start[]</t>
    <phoneticPr fontId="2" type="noConversion"/>
  </si>
  <si>
    <t>//$MV4[MCLK:24,mipi_phy_type:Dphy,mipi_lane:4,mipi_datarate:1440]
//$MV4_MainData[width:3648,height:2052,data_type:MIPI_RAW10 (0x2B)]
//$MV4_InterleavedData[isUsed:1,width:456,height:504,data_type:MIPI_RAW10 (0x2B),virtual_channel:1]
//$MV4_Start[]</t>
    <phoneticPr fontId="2" type="noConversion"/>
  </si>
  <si>
    <t>S5K3K1SX_EVT0_Reference_Setfile_v0.2b</t>
  </si>
  <si>
    <t>2023.10.26</t>
  </si>
  <si>
    <t>Update 1440Mbps/lane mipi datararte for Full 3648x2052 30fps  and 3648x2052 60fps</t>
  </si>
  <si>
    <t>Vienna</t>
  </si>
  <si>
    <t>0x4000 6B76</t>
  </si>
  <si>
    <t>address</t>
  </si>
  <si>
    <t>data</t>
  </si>
  <si>
    <t>0x8000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</si>
</sst>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  &quot;@"/>
  </numFmts>
  <fonts count="8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ＭＳ Ｐゴシック"/>
      <family val="2"/>
      <charset val="128"/>
    </font>
    <font>
      <u/>
      <sz val="11"/>
      <color theme="1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Times New Roman"/>
      <family val="1"/>
      <charset val="177"/>
    </font>
    <font>
      <b/>
      <sz val="11"/>
      <color rgb="FF0070C0"/>
      <name val="Book Antiqua"/>
      <family val="1"/>
    </font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1"/>
      <name val="ＭＳ Ｐゴシック"/>
      <family val="2"/>
    </font>
    <font>
      <sz val="11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30"/>
      <name val="Book Antiqua"/>
      <family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ok Antiqu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2"/>
    </font>
    <font>
      <sz val="16"/>
      <color theme="1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sz val="16"/>
      <color rgb="FF0070C0"/>
      <name val="Calibri"/>
      <family val="3"/>
      <charset val="129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0000FF"/>
      <name val="Calibri"/>
      <family val="2"/>
    </font>
    <font>
      <sz val="11"/>
      <color rgb="FF000000"/>
      <name val="等线"/>
      <charset val="134"/>
    </font>
  </fonts>
  <fills count="8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174">
    <xf numFmtId="0" fontId="0" fillId="0" borderId="0">
      <alignment vertical="center"/>
    </xf>
    <xf numFmtId="0" fontId="8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2" fontId="17" fillId="6" borderId="2" applyNumberFormat="0" applyFill="0" applyBorder="0">
      <alignment horizontal="center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" applyNumberFormat="0" applyFont="0" applyAlignment="0" applyProtection="0"/>
    <xf numFmtId="0" fontId="8" fillId="8" borderId="3" applyNumberFormat="0" applyFont="0" applyAlignment="0" applyProtection="0"/>
    <xf numFmtId="0" fontId="18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1" fillId="0" borderId="0"/>
    <xf numFmtId="0" fontId="13" fillId="0" borderId="0">
      <alignment vertical="center"/>
    </xf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13" fillId="0" borderId="0"/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8" fillId="8" borderId="13" applyNumberFormat="0" applyFont="0" applyAlignment="0" applyProtection="0"/>
    <xf numFmtId="0" fontId="8" fillId="8" borderId="14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42" fillId="31" borderId="0" applyNumberFormat="0" applyBorder="0" applyAlignment="0" applyProtection="0"/>
    <xf numFmtId="0" fontId="1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Protection="0">
      <alignment vertical="center"/>
    </xf>
    <xf numFmtId="0" fontId="42" fillId="32" borderId="0" applyNumberFormat="0" applyBorder="0" applyProtection="0">
      <alignment vertical="center"/>
    </xf>
    <xf numFmtId="0" fontId="42" fillId="32" borderId="0" applyNumberFormat="0" applyBorder="0" applyProtection="0">
      <alignment vertical="center"/>
    </xf>
    <xf numFmtId="0" fontId="42" fillId="33" borderId="0" applyNumberFormat="0" applyBorder="0" applyAlignment="0" applyProtection="0"/>
    <xf numFmtId="0" fontId="1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Protection="0">
      <alignment vertical="center"/>
    </xf>
    <xf numFmtId="0" fontId="42" fillId="34" borderId="0" applyNumberFormat="0" applyBorder="0" applyProtection="0">
      <alignment vertical="center"/>
    </xf>
    <xf numFmtId="0" fontId="42" fillId="34" borderId="0" applyNumberFormat="0" applyBorder="0" applyProtection="0">
      <alignment vertical="center"/>
    </xf>
    <xf numFmtId="0" fontId="42" fillId="35" borderId="0" applyNumberFormat="0" applyBorder="0" applyAlignment="0" applyProtection="0"/>
    <xf numFmtId="0" fontId="1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Protection="0">
      <alignment vertical="center"/>
    </xf>
    <xf numFmtId="0" fontId="42" fillId="36" borderId="0" applyNumberFormat="0" applyBorder="0" applyProtection="0">
      <alignment vertical="center"/>
    </xf>
    <xf numFmtId="0" fontId="42" fillId="36" borderId="0" applyNumberFormat="0" applyBorder="0" applyProtection="0">
      <alignment vertical="center"/>
    </xf>
    <xf numFmtId="0" fontId="42" fillId="37" borderId="0" applyNumberFormat="0" applyBorder="0" applyAlignment="0" applyProtection="0"/>
    <xf numFmtId="0" fontId="1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Protection="0">
      <alignment vertical="center"/>
    </xf>
    <xf numFmtId="0" fontId="42" fillId="38" borderId="0" applyNumberFormat="0" applyBorder="0" applyProtection="0">
      <alignment vertical="center"/>
    </xf>
    <xf numFmtId="0" fontId="42" fillId="38" borderId="0" applyNumberFormat="0" applyBorder="0" applyProtection="0">
      <alignment vertical="center"/>
    </xf>
    <xf numFmtId="0" fontId="42" fillId="39" borderId="0" applyNumberFormat="0" applyBorder="0" applyAlignment="0" applyProtection="0"/>
    <xf numFmtId="0" fontId="12" fillId="25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Protection="0">
      <alignment vertical="center"/>
    </xf>
    <xf numFmtId="0" fontId="42" fillId="40" borderId="0" applyNumberFormat="0" applyBorder="0" applyProtection="0">
      <alignment vertical="center"/>
    </xf>
    <xf numFmtId="0" fontId="42" fillId="40" borderId="0" applyNumberFormat="0" applyBorder="0" applyProtection="0">
      <alignment vertical="center"/>
    </xf>
    <xf numFmtId="0" fontId="42" fillId="41" borderId="0" applyNumberFormat="0" applyBorder="0" applyAlignment="0" applyProtection="0"/>
    <xf numFmtId="0" fontId="12" fillId="29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Protection="0">
      <alignment vertical="center"/>
    </xf>
    <xf numFmtId="0" fontId="42" fillId="42" borderId="0" applyNumberFormat="0" applyBorder="0" applyProtection="0">
      <alignment vertical="center"/>
    </xf>
    <xf numFmtId="0" fontId="42" fillId="4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/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2" borderId="0" applyNumberFormat="0" applyBorder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/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4" borderId="0" applyNumberFormat="0" applyBorder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6" borderId="0" applyNumberFormat="0" applyBorder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/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4" fillId="40" borderId="0" applyNumberFormat="0" applyBorder="0" applyAlignment="0" applyProtection="0"/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40" borderId="0" applyNumberFormat="0" applyBorder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4" fillId="42" borderId="0" applyNumberFormat="0" applyBorder="0" applyAlignment="0" applyProtection="0"/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2" borderId="0" applyNumberFormat="0" applyBorder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42" fillId="43" borderId="0" applyNumberFormat="0" applyBorder="0" applyAlignment="0" applyProtection="0"/>
    <xf numFmtId="0" fontId="12" fillId="16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Protection="0">
      <alignment vertical="center"/>
    </xf>
    <xf numFmtId="0" fontId="42" fillId="44" borderId="0" applyNumberFormat="0" applyBorder="0" applyProtection="0">
      <alignment vertical="center"/>
    </xf>
    <xf numFmtId="0" fontId="42" fillId="44" borderId="0" applyNumberFormat="0" applyBorder="0" applyProtection="0">
      <alignment vertical="center"/>
    </xf>
    <xf numFmtId="0" fontId="42" fillId="45" borderId="0" applyNumberFormat="0" applyBorder="0" applyAlignment="0" applyProtection="0"/>
    <xf numFmtId="0" fontId="12" fillId="19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Protection="0">
      <alignment vertical="center"/>
    </xf>
    <xf numFmtId="0" fontId="42" fillId="46" borderId="0" applyNumberFormat="0" applyBorder="0" applyProtection="0">
      <alignment vertical="center"/>
    </xf>
    <xf numFmtId="0" fontId="42" fillId="46" borderId="0" applyNumberFormat="0" applyBorder="0" applyProtection="0">
      <alignment vertical="center"/>
    </xf>
    <xf numFmtId="0" fontId="42" fillId="47" borderId="0" applyNumberFormat="0" applyBorder="0" applyAlignment="0" applyProtection="0"/>
    <xf numFmtId="0" fontId="1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Protection="0">
      <alignment vertical="center"/>
    </xf>
    <xf numFmtId="0" fontId="42" fillId="48" borderId="0" applyNumberFormat="0" applyBorder="0" applyProtection="0">
      <alignment vertical="center"/>
    </xf>
    <xf numFmtId="0" fontId="42" fillId="48" borderId="0" applyNumberFormat="0" applyBorder="0" applyProtection="0">
      <alignment vertical="center"/>
    </xf>
    <xf numFmtId="0" fontId="42" fillId="37" borderId="0" applyNumberFormat="0" applyBorder="0" applyAlignment="0" applyProtection="0"/>
    <xf numFmtId="0" fontId="12" fillId="23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Protection="0">
      <alignment vertical="center"/>
    </xf>
    <xf numFmtId="0" fontId="42" fillId="38" borderId="0" applyNumberFormat="0" applyBorder="0" applyProtection="0">
      <alignment vertical="center"/>
    </xf>
    <xf numFmtId="0" fontId="42" fillId="38" borderId="0" applyNumberFormat="0" applyBorder="0" applyProtection="0">
      <alignment vertical="center"/>
    </xf>
    <xf numFmtId="0" fontId="42" fillId="43" borderId="0" applyNumberFormat="0" applyBorder="0" applyAlignment="0" applyProtection="0"/>
    <xf numFmtId="0" fontId="12" fillId="26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Protection="0">
      <alignment vertical="center"/>
    </xf>
    <xf numFmtId="0" fontId="42" fillId="44" borderId="0" applyNumberFormat="0" applyBorder="0" applyProtection="0">
      <alignment vertical="center"/>
    </xf>
    <xf numFmtId="0" fontId="42" fillId="44" borderId="0" applyNumberFormat="0" applyBorder="0" applyProtection="0">
      <alignment vertical="center"/>
    </xf>
    <xf numFmtId="0" fontId="42" fillId="49" borderId="0" applyNumberFormat="0" applyBorder="0" applyAlignment="0" applyProtection="0"/>
    <xf numFmtId="0" fontId="12" fillId="30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Protection="0">
      <alignment vertical="center"/>
    </xf>
    <xf numFmtId="0" fontId="42" fillId="50" borderId="0" applyNumberFormat="0" applyBorder="0" applyProtection="0">
      <alignment vertical="center"/>
    </xf>
    <xf numFmtId="0" fontId="42" fillId="50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44" borderId="0" applyNumberFormat="0" applyBorder="0" applyAlignment="0" applyProtection="0"/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46" borderId="0" applyNumberFormat="0" applyBorder="0" applyAlignment="0" applyProtection="0"/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6" borderId="0" applyNumberFormat="0" applyBorder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/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8" borderId="0" applyNumberFormat="0" applyBorder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38" borderId="0" applyNumberFormat="0" applyBorder="0" applyAlignment="0" applyProtection="0"/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8" borderId="0" applyNumberFormat="0" applyBorder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44" borderId="0" applyNumberFormat="0" applyBorder="0" applyAlignment="0" applyProtection="0"/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4" borderId="0" applyNumberFormat="0" applyBorder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50" borderId="0" applyNumberFormat="0" applyBorder="0" applyAlignment="0" applyProtection="0"/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50" borderId="0" applyNumberFormat="0" applyBorder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43" fillId="51" borderId="0" applyNumberFormat="0" applyBorder="0" applyAlignment="0" applyProtection="0"/>
    <xf numFmtId="0" fontId="60" fillId="17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Protection="0">
      <alignment vertical="center"/>
    </xf>
    <xf numFmtId="0" fontId="43" fillId="52" borderId="0" applyNumberFormat="0" applyBorder="0" applyProtection="0">
      <alignment vertical="center"/>
    </xf>
    <xf numFmtId="0" fontId="43" fillId="52" borderId="0" applyNumberFormat="0" applyBorder="0" applyProtection="0">
      <alignment vertical="center"/>
    </xf>
    <xf numFmtId="0" fontId="43" fillId="45" borderId="0" applyNumberFormat="0" applyBorder="0" applyAlignment="0" applyProtection="0"/>
    <xf numFmtId="0" fontId="60" fillId="20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Protection="0">
      <alignment vertical="center"/>
    </xf>
    <xf numFmtId="0" fontId="43" fillId="46" borderId="0" applyNumberFormat="0" applyBorder="0" applyProtection="0">
      <alignment vertical="center"/>
    </xf>
    <xf numFmtId="0" fontId="43" fillId="46" borderId="0" applyNumberFormat="0" applyBorder="0" applyProtection="0">
      <alignment vertical="center"/>
    </xf>
    <xf numFmtId="0" fontId="43" fillId="47" borderId="0" applyNumberFormat="0" applyBorder="0" applyAlignment="0" applyProtection="0"/>
    <xf numFmtId="0" fontId="60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Protection="0">
      <alignment vertical="center"/>
    </xf>
    <xf numFmtId="0" fontId="43" fillId="48" borderId="0" applyNumberFormat="0" applyBorder="0" applyProtection="0">
      <alignment vertical="center"/>
    </xf>
    <xf numFmtId="0" fontId="43" fillId="48" borderId="0" applyNumberFormat="0" applyBorder="0" applyProtection="0">
      <alignment vertical="center"/>
    </xf>
    <xf numFmtId="0" fontId="43" fillId="53" borderId="0" applyNumberFormat="0" applyBorder="0" applyAlignment="0" applyProtection="0"/>
    <xf numFmtId="0" fontId="60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4" borderId="0" applyNumberFormat="0" applyBorder="0" applyProtection="0">
      <alignment vertical="center"/>
    </xf>
    <xf numFmtId="0" fontId="43" fillId="54" borderId="0" applyNumberFormat="0" applyBorder="0" applyProtection="0">
      <alignment vertical="center"/>
    </xf>
    <xf numFmtId="0" fontId="43" fillId="54" borderId="0" applyNumberFormat="0" applyBorder="0" applyProtection="0">
      <alignment vertical="center"/>
    </xf>
    <xf numFmtId="0" fontId="43" fillId="55" borderId="0" applyNumberFormat="0" applyBorder="0" applyAlignment="0" applyProtection="0"/>
    <xf numFmtId="0" fontId="60" fillId="27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7" borderId="0" applyNumberFormat="0" applyBorder="0" applyAlignment="0" applyProtection="0"/>
    <xf numFmtId="0" fontId="60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Protection="0">
      <alignment vertical="center"/>
    </xf>
    <xf numFmtId="0" fontId="43" fillId="58" borderId="0" applyNumberFormat="0" applyBorder="0" applyProtection="0">
      <alignment vertical="center"/>
    </xf>
    <xf numFmtId="0" fontId="43" fillId="58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25" fillId="52" borderId="0" applyNumberFormat="0" applyBorder="0" applyAlignment="0" applyProtection="0"/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25" fillId="46" borderId="0" applyNumberFormat="0" applyBorder="0" applyAlignment="0" applyProtection="0"/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/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8" borderId="0" applyNumberFormat="0" applyBorder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/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25" fillId="56" borderId="0" applyNumberFormat="0" applyBorder="0" applyAlignment="0" applyProtection="0"/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/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8" borderId="0" applyNumberFormat="0" applyBorder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43" fillId="59" borderId="0" applyNumberFormat="0" applyBorder="0" applyAlignment="0" applyProtection="0"/>
    <xf numFmtId="0" fontId="60" fillId="15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Protection="0">
      <alignment vertical="center"/>
    </xf>
    <xf numFmtId="0" fontId="43" fillId="60" borderId="0" applyNumberFormat="0" applyBorder="0" applyProtection="0">
      <alignment vertical="center"/>
    </xf>
    <xf numFmtId="0" fontId="43" fillId="60" borderId="0" applyNumberFormat="0" applyBorder="0" applyProtection="0">
      <alignment vertical="center"/>
    </xf>
    <xf numFmtId="0" fontId="43" fillId="61" borderId="0" applyNumberFormat="0" applyBorder="0" applyAlignment="0" applyProtection="0"/>
    <xf numFmtId="0" fontId="60" fillId="18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Protection="0">
      <alignment vertical="center"/>
    </xf>
    <xf numFmtId="0" fontId="43" fillId="62" borderId="0" applyNumberFormat="0" applyBorder="0" applyProtection="0">
      <alignment vertical="center"/>
    </xf>
    <xf numFmtId="0" fontId="43" fillId="62" borderId="0" applyNumberFormat="0" applyBorder="0" applyProtection="0">
      <alignment vertical="center"/>
    </xf>
    <xf numFmtId="0" fontId="43" fillId="63" borderId="0" applyNumberFormat="0" applyBorder="0" applyAlignment="0" applyProtection="0"/>
    <xf numFmtId="0" fontId="60" fillId="21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Protection="0">
      <alignment vertical="center"/>
    </xf>
    <xf numFmtId="0" fontId="43" fillId="64" borderId="0" applyNumberFormat="0" applyBorder="0" applyProtection="0">
      <alignment vertical="center"/>
    </xf>
    <xf numFmtId="0" fontId="43" fillId="64" borderId="0" applyNumberFormat="0" applyBorder="0" applyProtection="0">
      <alignment vertical="center"/>
    </xf>
    <xf numFmtId="0" fontId="43" fillId="53" borderId="0" applyNumberFormat="0" applyBorder="0" applyAlignment="0" applyProtection="0"/>
    <xf numFmtId="0" fontId="60" fillId="22" borderId="0" applyNumberFormat="0" applyBorder="0" applyAlignment="0" applyProtection="0"/>
    <xf numFmtId="0" fontId="43" fillId="53" borderId="0" applyNumberFormat="0" applyBorder="0" applyAlignment="0" applyProtection="0"/>
    <xf numFmtId="0" fontId="43" fillId="54" borderId="0" applyNumberFormat="0" applyBorder="0" applyProtection="0">
      <alignment vertical="center"/>
    </xf>
    <xf numFmtId="0" fontId="43" fillId="54" borderId="0" applyNumberFormat="0" applyBorder="0" applyProtection="0">
      <alignment vertical="center"/>
    </xf>
    <xf numFmtId="0" fontId="43" fillId="54" borderId="0" applyNumberFormat="0" applyBorder="0" applyProtection="0">
      <alignment vertical="center"/>
    </xf>
    <xf numFmtId="0" fontId="43" fillId="55" borderId="0" applyNumberFormat="0" applyBorder="0" applyAlignment="0" applyProtection="0"/>
    <xf numFmtId="0" fontId="60" fillId="24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56" borderId="0" applyNumberFormat="0" applyBorder="0" applyProtection="0">
      <alignment vertical="center"/>
    </xf>
    <xf numFmtId="0" fontId="43" fillId="65" borderId="0" applyNumberFormat="0" applyBorder="0" applyAlignment="0" applyProtection="0"/>
    <xf numFmtId="0" fontId="60" fillId="28" borderId="0" applyNumberFormat="0" applyBorder="0" applyAlignment="0" applyProtection="0"/>
    <xf numFmtId="0" fontId="43" fillId="65" borderId="0" applyNumberFormat="0" applyBorder="0" applyAlignment="0" applyProtection="0"/>
    <xf numFmtId="0" fontId="43" fillId="66" borderId="0" applyNumberFormat="0" applyBorder="0" applyProtection="0">
      <alignment vertical="center"/>
    </xf>
    <xf numFmtId="0" fontId="43" fillId="66" borderId="0" applyNumberFormat="0" applyBorder="0" applyProtection="0">
      <alignment vertical="center"/>
    </xf>
    <xf numFmtId="0" fontId="43" fillId="66" borderId="0" applyNumberFormat="0" applyBorder="0" applyProtection="0">
      <alignment vertical="center"/>
    </xf>
    <xf numFmtId="0" fontId="44" fillId="33" borderId="0" applyNumberFormat="0" applyBorder="0" applyAlignment="0" applyProtection="0"/>
    <xf numFmtId="0" fontId="61" fillId="11" borderId="0" applyNumberFormat="0" applyBorder="0" applyAlignment="0" applyProtection="0"/>
    <xf numFmtId="0" fontId="44" fillId="33" borderId="0" applyNumberFormat="0" applyBorder="0" applyAlignment="0" applyProtection="0"/>
    <xf numFmtId="0" fontId="44" fillId="34" borderId="0" applyNumberFormat="0" applyBorder="0" applyProtection="0">
      <alignment vertical="center"/>
    </xf>
    <xf numFmtId="0" fontId="44" fillId="34" borderId="0" applyNumberFormat="0" applyBorder="0" applyProtection="0">
      <alignment vertical="center"/>
    </xf>
    <xf numFmtId="0" fontId="44" fillId="34" borderId="0" applyNumberFormat="0" applyBorder="0" applyProtection="0">
      <alignment vertical="center"/>
    </xf>
    <xf numFmtId="2" fontId="45" fillId="67" borderId="25" applyNumberFormat="0" applyFill="0" applyBorder="0">
      <alignment horizontal="center" vertical="center"/>
    </xf>
    <xf numFmtId="2" fontId="17" fillId="67" borderId="25" applyNumberFormat="0" applyFill="0" applyBorder="0">
      <alignment horizontal="center" vertical="center"/>
    </xf>
    <xf numFmtId="2" fontId="17" fillId="67" borderId="25" applyNumberFormat="0" applyFill="0" applyBorder="0">
      <alignment horizontal="center" vertical="center"/>
    </xf>
    <xf numFmtId="2" fontId="17" fillId="67" borderId="25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62" fillId="6" borderId="2" applyNumberFormat="0" applyAlignment="0" applyProtection="0"/>
    <xf numFmtId="2" fontId="45" fillId="67" borderId="25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6" fillId="68" borderId="26" applyNumberFormat="0" applyAlignment="0" applyProtection="0"/>
    <xf numFmtId="0" fontId="63" fillId="14" borderId="23" applyNumberFormat="0" applyAlignment="0" applyProtection="0"/>
    <xf numFmtId="0" fontId="46" fillId="68" borderId="26" applyNumberFormat="0" applyAlignment="0" applyProtection="0"/>
    <xf numFmtId="0" fontId="46" fillId="69" borderId="26" applyNumberFormat="0" applyProtection="0">
      <alignment vertical="center"/>
    </xf>
    <xf numFmtId="0" fontId="46" fillId="69" borderId="26" applyNumberFormat="0" applyProtection="0">
      <alignment vertical="center"/>
    </xf>
    <xf numFmtId="0" fontId="46" fillId="69" borderId="26" applyNumberFormat="0" applyProtection="0">
      <alignment vertical="center"/>
    </xf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5" borderId="0" applyNumberFormat="0" applyBorder="0" applyAlignment="0" applyProtection="0"/>
    <xf numFmtId="0" fontId="65" fillId="10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Protection="0">
      <alignment vertical="center"/>
    </xf>
    <xf numFmtId="0" fontId="48" fillId="36" borderId="0" applyNumberFormat="0" applyBorder="0" applyProtection="0">
      <alignment vertical="center"/>
    </xf>
    <xf numFmtId="0" fontId="48" fillId="36" borderId="0" applyNumberFormat="0" applyBorder="0" applyProtection="0">
      <alignment vertical="center"/>
    </xf>
    <xf numFmtId="0" fontId="49" fillId="0" borderId="27" applyNumberFormat="0" applyFill="0" applyAlignment="0" applyProtection="0"/>
    <xf numFmtId="0" fontId="66" fillId="0" borderId="18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Protection="0">
      <alignment vertical="center"/>
    </xf>
    <xf numFmtId="0" fontId="49" fillId="0" borderId="27" applyNumberFormat="0" applyFill="0" applyProtection="0">
      <alignment vertical="center"/>
    </xf>
    <xf numFmtId="0" fontId="49" fillId="0" borderId="27" applyNumberFormat="0" applyFill="0" applyProtection="0">
      <alignment vertical="center"/>
    </xf>
    <xf numFmtId="0" fontId="50" fillId="0" borderId="28" applyNumberFormat="0" applyFill="0" applyAlignment="0" applyProtection="0"/>
    <xf numFmtId="0" fontId="67" fillId="0" borderId="19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Protection="0">
      <alignment vertical="center"/>
    </xf>
    <xf numFmtId="0" fontId="50" fillId="0" borderId="28" applyNumberFormat="0" applyFill="0" applyProtection="0">
      <alignment vertical="center"/>
    </xf>
    <xf numFmtId="0" fontId="50" fillId="0" borderId="28" applyNumberFormat="0" applyFill="0" applyProtection="0">
      <alignment vertical="center"/>
    </xf>
    <xf numFmtId="0" fontId="51" fillId="0" borderId="29" applyNumberFormat="0" applyFill="0" applyAlignment="0" applyProtection="0"/>
    <xf numFmtId="0" fontId="68" fillId="0" borderId="20" applyNumberFormat="0" applyFill="0" applyAlignment="0" applyProtection="0"/>
    <xf numFmtId="0" fontId="51" fillId="0" borderId="29" applyNumberFormat="0" applyFill="0" applyAlignment="0" applyProtection="0"/>
    <xf numFmtId="0" fontId="51" fillId="0" borderId="29" applyNumberFormat="0" applyFill="0" applyProtection="0">
      <alignment vertical="center"/>
    </xf>
    <xf numFmtId="0" fontId="51" fillId="0" borderId="29" applyNumberFormat="0" applyFill="0" applyProtection="0">
      <alignment vertical="center"/>
    </xf>
    <xf numFmtId="0" fontId="51" fillId="0" borderId="29" applyNumberFormat="0" applyFill="0" applyProtection="0">
      <alignment vertical="center"/>
    </xf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41" borderId="25" applyNumberFormat="0" applyAlignment="0" applyProtection="0"/>
    <xf numFmtId="0" fontId="69" fillId="13" borderId="2" applyNumberFormat="0" applyAlignment="0" applyProtection="0"/>
    <xf numFmtId="0" fontId="52" fillId="41" borderId="25" applyNumberFormat="0" applyAlignment="0" applyProtection="0"/>
    <xf numFmtId="0" fontId="52" fillId="42" borderId="25" applyNumberFormat="0" applyProtection="0">
      <alignment vertical="center"/>
    </xf>
    <xf numFmtId="0" fontId="52" fillId="42" borderId="25" applyNumberFormat="0" applyProtection="0">
      <alignment vertical="center"/>
    </xf>
    <xf numFmtId="0" fontId="52" fillId="42" borderId="25" applyNumberFormat="0" applyProtection="0">
      <alignment vertical="center"/>
    </xf>
    <xf numFmtId="0" fontId="53" fillId="0" borderId="30" applyNumberFormat="0" applyFill="0" applyAlignment="0" applyProtection="0"/>
    <xf numFmtId="0" fontId="70" fillId="0" borderId="22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Protection="0">
      <alignment vertical="center"/>
    </xf>
    <xf numFmtId="0" fontId="53" fillId="0" borderId="30" applyNumberFormat="0" applyFill="0" applyProtection="0">
      <alignment vertical="center"/>
    </xf>
    <xf numFmtId="0" fontId="53" fillId="0" borderId="30" applyNumberFormat="0" applyFill="0" applyProtection="0">
      <alignment vertical="center"/>
    </xf>
    <xf numFmtId="0" fontId="54" fillId="70" borderId="0" applyNumberFormat="0" applyBorder="0" applyAlignment="0" applyProtection="0"/>
    <xf numFmtId="0" fontId="71" fillId="12" borderId="0" applyNumberFormat="0" applyBorder="0" applyAlignment="0" applyProtection="0"/>
    <xf numFmtId="0" fontId="54" fillId="70" borderId="0" applyNumberFormat="0" applyBorder="0" applyAlignment="0" applyProtection="0"/>
    <xf numFmtId="0" fontId="54" fillId="71" borderId="0" applyNumberFormat="0" applyBorder="0" applyProtection="0">
      <alignment vertical="center"/>
    </xf>
    <xf numFmtId="0" fontId="54" fillId="71" borderId="0" applyNumberFormat="0" applyBorder="0" applyProtection="0">
      <alignment vertical="center"/>
    </xf>
    <xf numFmtId="0" fontId="54" fillId="71" borderId="0" applyNumberFormat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24" fillId="9" borderId="5" applyNumberFormat="0" applyFont="0" applyAlignment="0" applyProtection="0"/>
    <xf numFmtId="0" fontId="24" fillId="9" borderId="5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55" fillId="67" borderId="32" applyNumberFormat="0" applyAlignment="0" applyProtection="0"/>
    <xf numFmtId="0" fontId="72" fillId="6" borderId="21" applyNumberFormat="0" applyAlignment="0" applyProtection="0"/>
    <xf numFmtId="0" fontId="55" fillId="67" borderId="32" applyNumberFormat="0" applyAlignment="0" applyProtection="0"/>
    <xf numFmtId="0" fontId="55" fillId="73" borderId="32" applyNumberFormat="0" applyProtection="0">
      <alignment vertical="center"/>
    </xf>
    <xf numFmtId="0" fontId="55" fillId="73" borderId="32" applyNumberFormat="0" applyProtection="0">
      <alignment vertical="center"/>
    </xf>
    <xf numFmtId="0" fontId="55" fillId="73" borderId="32" applyNumberFormat="0" applyProtection="0">
      <alignment vertical="center"/>
    </xf>
    <xf numFmtId="0" fontId="5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33" applyNumberFormat="0" applyFill="0" applyAlignment="0" applyProtection="0"/>
    <xf numFmtId="0" fontId="15" fillId="0" borderId="24" applyNumberFormat="0" applyFill="0" applyAlignment="0" applyProtection="0"/>
    <xf numFmtId="0" fontId="57" fillId="0" borderId="33" applyNumberFormat="0" applyFill="0" applyAlignment="0" applyProtection="0"/>
    <xf numFmtId="0" fontId="57" fillId="0" borderId="33" applyNumberFormat="0" applyFill="0" applyProtection="0">
      <alignment vertical="center"/>
    </xf>
    <xf numFmtId="0" fontId="57" fillId="0" borderId="33" applyNumberFormat="0" applyFill="0" applyProtection="0">
      <alignment vertical="center"/>
    </xf>
    <xf numFmtId="0" fontId="57" fillId="0" borderId="33" applyNumberFormat="0" applyFill="0" applyProtection="0">
      <alignment vertical="center"/>
    </xf>
    <xf numFmtId="0" fontId="5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25" fillId="60" borderId="0" applyNumberFormat="0" applyBorder="0" applyAlignment="0" applyProtection="0"/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60" borderId="0" applyNumberFormat="0" applyBorder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43" fillId="62" borderId="0" applyNumberFormat="0" applyAlignment="0" applyProtection="0"/>
    <xf numFmtId="0" fontId="25" fillId="62" borderId="0" applyNumberFormat="0" applyBorder="0" applyAlignment="0" applyProtection="0"/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2" borderId="0" applyNumberFormat="0" applyBorder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25" fillId="64" borderId="0" applyNumberFormat="0" applyBorder="0" applyAlignment="0" applyProtection="0"/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4" borderId="0" applyNumberFormat="0" applyBorder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25" fillId="54" borderId="0" applyNumberFormat="0" applyBorder="0" applyAlignment="0" applyProtection="0"/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4" borderId="0" applyNumberFormat="0" applyBorder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25" fillId="56" borderId="0" applyNumberFormat="0" applyBorder="0" applyAlignment="0" applyProtection="0"/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6" borderId="0" applyNumberFormat="0" applyBorder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25" fillId="66" borderId="0" applyNumberFormat="0" applyBorder="0" applyAlignment="0" applyProtection="0"/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6" borderId="0" applyNumberFormat="0" applyBorder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62" fillId="6" borderId="2" applyNumberFormat="0" applyAlignment="0" applyProtection="0">
      <alignment vertical="center"/>
    </xf>
    <xf numFmtId="0" fontId="27" fillId="73" borderId="25" applyNumberFormat="0" applyAlignment="0" applyProtection="0"/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73" borderId="25" applyNumberForma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73" borderId="25" applyNumberForma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7" fillId="67" borderId="25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28" fillId="34" borderId="0" applyNumberFormat="0" applyBorder="0" applyAlignment="0" applyProtection="0"/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4" borderId="0" applyNumberFormat="0" applyBorder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24" fillId="9" borderId="5" applyNumberFormat="0" applyFont="0" applyAlignment="0" applyProtection="0">
      <alignment vertical="center"/>
    </xf>
    <xf numFmtId="0" fontId="59" fillId="72" borderId="31" applyNumberFormat="0" applyAlignment="0" applyProtection="0"/>
    <xf numFmtId="0" fontId="59" fillId="72" borderId="31" applyNumberFormat="0" applyAlignment="0" applyProtection="0"/>
    <xf numFmtId="0" fontId="59" fillId="72" borderId="31" applyNumberFormat="0" applyAlignment="0" applyProtection="0"/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72" borderId="31" applyNumberForma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72" borderId="31" applyNumberForma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59" fillId="72" borderId="31" applyNumberFormat="0" applyProtection="0">
      <alignment vertical="center"/>
    </xf>
    <xf numFmtId="0" fontId="59" fillId="72" borderId="31" applyNumberFormat="0" applyProtection="0">
      <alignment vertical="center"/>
    </xf>
    <xf numFmtId="0" fontId="59" fillId="72" borderId="31" applyNumberForma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8" fillId="8" borderId="31" applyNumberFormat="0" applyFont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29" fillId="71" borderId="0" applyNumberFormat="0" applyBorder="0" applyAlignment="0" applyProtection="0"/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1" borderId="0" applyNumberFormat="0" applyBorder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63" fillId="14" borderId="23" applyNumberFormat="0" applyAlignment="0" applyProtection="0">
      <alignment vertical="center"/>
    </xf>
    <xf numFmtId="0" fontId="31" fillId="69" borderId="26" applyNumberFormat="0" applyAlignment="0" applyProtection="0"/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9" borderId="26" applyNumberForma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9" borderId="26" applyNumberForma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1" fillId="68" borderId="26" applyNumberFormat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32" fillId="0" borderId="30" applyNumberFormat="0" applyFill="0" applyAlignment="0" applyProtection="0"/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33" fillId="0" borderId="33" applyNumberFormat="0" applyFill="0" applyAlignment="0" applyProtection="0"/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69" fillId="13" borderId="2" applyNumberFormat="0" applyAlignment="0" applyProtection="0">
      <alignment vertical="center"/>
    </xf>
    <xf numFmtId="0" fontId="34" fillId="42" borderId="25" applyNumberFormat="0" applyAlignment="0" applyProtection="0"/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2" borderId="25" applyNumberForma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2" borderId="25" applyNumberForma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4" fillId="41" borderId="25" applyNumberFormat="0" applyAlignment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Alignment="0" applyProtection="0"/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/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37" fillId="0" borderId="28" applyNumberFormat="0" applyFill="0" applyAlignment="0" applyProtection="0"/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38" fillId="0" borderId="29" applyNumberFormat="0" applyFill="0" applyAlignment="0" applyProtection="0"/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39" fillId="36" borderId="0" applyNumberFormat="0" applyBorder="0" applyAlignment="0" applyProtection="0"/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72" fillId="6" borderId="21" applyNumberFormat="0" applyAlignment="0" applyProtection="0">
      <alignment vertical="center"/>
    </xf>
    <xf numFmtId="0" fontId="40" fillId="73" borderId="32" applyNumberFormat="0" applyAlignment="0" applyProtection="0"/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73" borderId="32" applyNumberForma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73" borderId="32" applyNumberForma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40" fillId="67" borderId="32" applyNumberFormat="0" applyAlignment="0" applyProtection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5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9" fillId="0" borderId="0"/>
    <xf numFmtId="0" fontId="59" fillId="0" borderId="0"/>
    <xf numFmtId="0" fontId="21" fillId="0" borderId="0"/>
    <xf numFmtId="0" fontId="21" fillId="0" borderId="0"/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174">
    <xf numFmtId="0" fontId="0" fillId="0" borderId="0" xfId="0">
      <alignment vertical="center"/>
    </xf>
    <xf numFmtId="0" fontId="0" fillId="0" borderId="0" xfId="0">
      <alignment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9" xfId="0" applyNumberFormat="1" applyFont="1" applyBorder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0" fillId="0" borderId="0" xfId="0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8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7" xfId="0" quotePrefix="1" applyFont="1" applyFill="1" applyBorder="1" applyAlignment="1">
      <alignment horizontal="center" vertical="center"/>
    </xf>
    <xf numFmtId="0" fontId="79" fillId="0" borderId="0" xfId="0" quotePrefix="1" applyFont="1" applyFill="1" applyBorder="1" applyAlignment="1">
      <alignment horizontal="center" vertical="center"/>
    </xf>
    <xf numFmtId="0" fontId="79" fillId="0" borderId="0" xfId="0" applyFont="1" applyFill="1" applyBorder="1" applyAlignment="1">
      <alignment horizontal="center" vertical="center"/>
    </xf>
    <xf numFmtId="0" fontId="79" fillId="0" borderId="8" xfId="0" quotePrefix="1" applyFont="1" applyFill="1" applyBorder="1" applyAlignment="1">
      <alignment horizontal="center" vertical="center"/>
    </xf>
    <xf numFmtId="0" fontId="79" fillId="0" borderId="37" xfId="0" quotePrefix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74" borderId="9" xfId="0" applyFont="1" applyFill="1" applyBorder="1" applyAlignment="1">
      <alignment horizontal="center" vertical="center"/>
    </xf>
    <xf numFmtId="0" fontId="5" fillId="74" borderId="10" xfId="0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right" vertical="center"/>
    </xf>
    <xf numFmtId="0" fontId="3" fillId="0" borderId="34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 shrinkToFit="1"/>
    </xf>
    <xf numFmtId="2" fontId="79" fillId="0" borderId="9" xfId="0" applyNumberFormat="1" applyFont="1" applyBorder="1" applyAlignment="1">
      <alignment horizontal="right" vertical="center"/>
    </xf>
    <xf numFmtId="0" fontId="82" fillId="76" borderId="9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79" fillId="0" borderId="8" xfId="0" applyFont="1" applyFill="1" applyBorder="1" applyAlignment="1">
      <alignment horizontal="center" vertical="center"/>
    </xf>
    <xf numFmtId="49" fontId="79" fillId="0" borderId="0" xfId="0" quotePrefix="1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0" fillId="7" borderId="0" xfId="0" applyFill="1" applyAlignment="1">
      <alignment vertical="center" shrinkToFi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center" shrinkToFit="1"/>
    </xf>
    <xf numFmtId="2" fontId="3" fillId="0" borderId="6" xfId="0" applyNumberFormat="1" applyFont="1" applyBorder="1" applyAlignment="1">
      <alignment horizontal="right" vertical="center"/>
    </xf>
    <xf numFmtId="2" fontId="3" fillId="0" borderId="10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 shrinkToFit="1"/>
    </xf>
    <xf numFmtId="0" fontId="3" fillId="0" borderId="10" xfId="0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6" xfId="18" quotePrefix="1" applyNumberFormat="1" applyFont="1" applyFill="1" applyBorder="1" applyAlignment="1">
      <alignment horizontal="center" vertical="center" wrapText="1"/>
    </xf>
    <xf numFmtId="49" fontId="3" fillId="0" borderId="9" xfId="0" quotePrefix="1" applyNumberFormat="1" applyFont="1" applyFill="1" applyBorder="1" applyAlignment="1">
      <alignment horizontal="center" vertical="center"/>
    </xf>
    <xf numFmtId="49" fontId="3" fillId="0" borderId="10" xfId="18" quotePrefix="1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34" xfId="0" quotePrefix="1" applyNumberFormat="1" applyFont="1" applyFill="1" applyBorder="1" applyAlignment="1">
      <alignment horizontal="center" vertical="center"/>
    </xf>
    <xf numFmtId="49" fontId="3" fillId="0" borderId="35" xfId="18" quotePrefix="1" applyNumberFormat="1" applyFont="1" applyFill="1" applyBorder="1" applyAlignment="1">
      <alignment horizontal="center" vertical="center" wrapText="1"/>
    </xf>
    <xf numFmtId="49" fontId="79" fillId="0" borderId="7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Fill="1" applyBorder="1" applyAlignment="1">
      <alignment horizontal="center" vertical="center"/>
    </xf>
    <xf numFmtId="49" fontId="79" fillId="0" borderId="6" xfId="0" quotePrefix="1" applyNumberFormat="1" applyFont="1" applyFill="1" applyBorder="1" applyAlignment="1">
      <alignment horizontal="center" vertical="center"/>
    </xf>
    <xf numFmtId="49" fontId="79" fillId="0" borderId="9" xfId="0" quotePrefix="1" applyNumberFormat="1" applyFont="1" applyFill="1" applyBorder="1" applyAlignment="1">
      <alignment horizontal="center" vertical="center"/>
    </xf>
    <xf numFmtId="49" fontId="79" fillId="0" borderId="10" xfId="0" quotePrefix="1" applyNumberFormat="1" applyFont="1" applyFill="1" applyBorder="1" applyAlignment="1">
      <alignment horizontal="center" vertical="center"/>
    </xf>
    <xf numFmtId="49" fontId="79" fillId="0" borderId="10" xfId="18" quotePrefix="1" applyNumberFormat="1" applyFont="1" applyFill="1" applyBorder="1" applyAlignment="1">
      <alignment horizontal="center" vertical="center" wrapText="1"/>
    </xf>
    <xf numFmtId="49" fontId="79" fillId="0" borderId="34" xfId="0" quotePrefix="1" applyNumberFormat="1" applyFont="1" applyFill="1" applyBorder="1" applyAlignment="1">
      <alignment horizontal="center" vertical="center"/>
    </xf>
    <xf numFmtId="49" fontId="79" fillId="0" borderId="37" xfId="0" quotePrefix="1" applyNumberFormat="1" applyFont="1" applyFill="1" applyBorder="1" applyAlignment="1">
      <alignment horizontal="center" vertical="center"/>
    </xf>
    <xf numFmtId="49" fontId="79" fillId="0" borderId="35" xfId="0" quotePrefix="1" applyNumberFormat="1" applyFont="1" applyFill="1" applyBorder="1" applyAlignment="1">
      <alignment horizontal="center" vertical="center"/>
    </xf>
    <xf numFmtId="49" fontId="79" fillId="0" borderId="9" xfId="0" applyNumberFormat="1" applyFont="1" applyFill="1" applyBorder="1" applyAlignment="1">
      <alignment horizontal="center" vertical="center"/>
    </xf>
    <xf numFmtId="49" fontId="79" fillId="0" borderId="7" xfId="0" applyNumberFormat="1" applyFont="1" applyFill="1" applyBorder="1" applyAlignment="1">
      <alignment horizontal="center" vertical="center"/>
    </xf>
    <xf numFmtId="49" fontId="79" fillId="0" borderId="6" xfId="18" quotePrefix="1" applyNumberFormat="1" applyFont="1" applyFill="1" applyBorder="1" applyAlignment="1">
      <alignment horizontal="center" vertical="center" wrapText="1"/>
    </xf>
    <xf numFmtId="0" fontId="3" fillId="0" borderId="9" xfId="0" quotePrefix="1" applyFont="1" applyFill="1" applyBorder="1" applyAlignment="1">
      <alignment horizontal="center" vertical="center"/>
    </xf>
    <xf numFmtId="0" fontId="3" fillId="0" borderId="10" xfId="0" quotePrefix="1" applyFont="1" applyFill="1" applyBorder="1" applyAlignment="1">
      <alignment horizontal="center" vertical="center"/>
    </xf>
    <xf numFmtId="49" fontId="3" fillId="0" borderId="9" xfId="19" quotePrefix="1" applyNumberFormat="1" applyFont="1" applyFill="1" applyBorder="1" applyAlignment="1">
      <alignment horizontal="center" vertical="center"/>
    </xf>
    <xf numFmtId="0" fontId="75" fillId="0" borderId="10" xfId="0" quotePrefix="1" applyFont="1" applyFill="1" applyBorder="1" applyAlignment="1">
      <alignment horizontal="center" vertical="center"/>
    </xf>
    <xf numFmtId="0" fontId="3" fillId="0" borderId="34" xfId="0" quotePrefix="1" applyFont="1" applyFill="1" applyBorder="1" applyAlignment="1">
      <alignment horizontal="center" vertical="center"/>
    </xf>
    <xf numFmtId="0" fontId="3" fillId="0" borderId="35" xfId="0" quotePrefix="1" applyFont="1" applyFill="1" applyBorder="1" applyAlignment="1">
      <alignment horizontal="center" vertical="center"/>
    </xf>
    <xf numFmtId="49" fontId="3" fillId="4" borderId="34" xfId="0" quotePrefix="1" applyNumberFormat="1" applyFont="1" applyFill="1" applyBorder="1" applyAlignment="1">
      <alignment horizontal="center" vertical="center"/>
    </xf>
    <xf numFmtId="49" fontId="3" fillId="4" borderId="35" xfId="0" quotePrefix="1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37" xfId="0" quotePrefix="1" applyNumberFormat="1" applyFont="1" applyFill="1" applyBorder="1" applyAlignment="1">
      <alignment horizontal="center" vertical="center"/>
    </xf>
    <xf numFmtId="49" fontId="79" fillId="0" borderId="0" xfId="0" applyNumberFormat="1" applyFont="1" applyFill="1" applyBorder="1" applyAlignment="1">
      <alignment horizontal="center" vertical="center"/>
    </xf>
    <xf numFmtId="49" fontId="79" fillId="0" borderId="8" xfId="0" applyNumberFormat="1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right" vertical="center"/>
    </xf>
    <xf numFmtId="0" fontId="3" fillId="0" borderId="37" xfId="0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0" fontId="84" fillId="0" borderId="0" xfId="0" applyFont="1" applyFill="1">
      <alignment vertical="center"/>
    </xf>
    <xf numFmtId="49" fontId="79" fillId="0" borderId="9" xfId="19" applyNumberFormat="1" applyFont="1" applyFill="1" applyBorder="1" applyAlignment="1">
      <alignment horizontal="center" vertical="center" wrapText="1"/>
    </xf>
    <xf numFmtId="49" fontId="79" fillId="0" borderId="10" xfId="19" applyNumberFormat="1" applyFont="1" applyFill="1" applyBorder="1" applyAlignment="1">
      <alignment horizontal="center" vertical="center" wrapText="1"/>
    </xf>
    <xf numFmtId="49" fontId="79" fillId="0" borderId="10" xfId="19" quotePrefix="1" applyNumberFormat="1" applyFont="1" applyFill="1" applyBorder="1" applyAlignment="1">
      <alignment horizontal="center" vertical="center" wrapText="1"/>
    </xf>
    <xf numFmtId="49" fontId="79" fillId="0" borderId="10" xfId="19" quotePrefix="1" applyNumberFormat="1" applyFont="1" applyFill="1" applyBorder="1" applyAlignment="1">
      <alignment horizontal="center" vertical="center"/>
    </xf>
    <xf numFmtId="0" fontId="86" fillId="74" borderId="9" xfId="0" applyFont="1" applyFill="1" applyBorder="1" applyAlignment="1">
      <alignment horizontal="center" vertical="center"/>
    </xf>
    <xf numFmtId="0" fontId="86" fillId="74" borderId="10" xfId="0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84" fillId="0" borderId="38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165" fontId="10" fillId="79" borderId="36" xfId="0" applyNumberFormat="1" applyFont="1" applyFill="1" applyBorder="1" applyAlignment="1">
      <alignment horizontal="left" vertical="center" shrinkToFit="1"/>
    </xf>
    <xf numFmtId="0" fontId="10" fillId="79" borderId="36" xfId="0" quotePrefix="1" applyFont="1" applyFill="1" applyBorder="1" applyAlignment="1">
      <alignment horizontal="center" vertical="center"/>
    </xf>
    <xf numFmtId="0" fontId="10" fillId="79" borderId="36" xfId="0" applyFont="1" applyFill="1" applyBorder="1" applyAlignment="1">
      <alignment vertical="center" wrapText="1"/>
    </xf>
    <xf numFmtId="0" fontId="10" fillId="79" borderId="36" xfId="0" applyFont="1" applyFill="1" applyBorder="1" applyAlignment="1">
      <alignment horizontal="center" vertical="center" wrapText="1"/>
    </xf>
    <xf numFmtId="0" fontId="3" fillId="75" borderId="0" xfId="0" applyFont="1" applyFill="1" applyBorder="1" applyAlignment="1">
      <alignment horizontal="center" vertical="center"/>
    </xf>
    <xf numFmtId="49" fontId="87" fillId="0" borderId="10" xfId="0" applyNumberFormat="1" applyFont="1" applyBorder="1" applyAlignment="1">
      <alignment horizontal="center" vertical="center"/>
    </xf>
    <xf numFmtId="49" fontId="87" fillId="0" borderId="10" xfId="0" quotePrefix="1" applyNumberFormat="1" applyFont="1" applyBorder="1" applyAlignment="1">
      <alignment horizontal="center" vertical="center"/>
    </xf>
    <xf numFmtId="0" fontId="3" fillId="75" borderId="37" xfId="0" applyFont="1" applyFill="1" applyBorder="1" applyAlignment="1">
      <alignment horizontal="center" vertical="center"/>
    </xf>
    <xf numFmtId="0" fontId="3" fillId="0" borderId="37" xfId="0" applyFont="1" applyFill="1" applyBorder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46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0" fontId="3" fillId="75" borderId="47" xfId="0" quotePrefix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5" fillId="3" borderId="0" xfId="0" applyFont="1" applyFill="1" applyBorder="1" applyAlignment="1">
      <alignment horizontal="right" vertical="center"/>
    </xf>
    <xf numFmtId="0" fontId="82" fillId="76" borderId="0" xfId="0" applyFont="1" applyFill="1" applyBorder="1" applyAlignment="1">
      <alignment horizontal="right" vertical="center"/>
    </xf>
    <xf numFmtId="0" fontId="83" fillId="0" borderId="0" xfId="0" applyFont="1" applyAlignment="1">
      <alignment horizontal="center" vertical="center"/>
    </xf>
    <xf numFmtId="0" fontId="10" fillId="79" borderId="36" xfId="0" quotePrefix="1" applyFont="1" applyFill="1" applyBorder="1" applyAlignment="1">
      <alignment horizontal="center" vertical="center" wrapText="1"/>
    </xf>
    <xf numFmtId="0" fontId="3" fillId="0" borderId="7" xfId="0" quotePrefix="1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75" fillId="0" borderId="35" xfId="0" quotePrefix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9" fillId="79" borderId="36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76" fillId="75" borderId="0" xfId="0" applyFont="1" applyFill="1" applyBorder="1" applyAlignment="1">
      <alignment horizontal="center" vertical="center" wrapText="1"/>
    </xf>
    <xf numFmtId="0" fontId="81" fillId="3" borderId="7" xfId="0" applyFont="1" applyFill="1" applyBorder="1" applyAlignment="1">
      <alignment horizontal="center" vertical="center"/>
    </xf>
    <xf numFmtId="0" fontId="81" fillId="3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85" fillId="3" borderId="7" xfId="0" applyFont="1" applyFill="1" applyBorder="1" applyAlignment="1">
      <alignment horizontal="center" vertical="center"/>
    </xf>
    <xf numFmtId="0" fontId="85" fillId="3" borderId="6" xfId="0" applyFont="1" applyFill="1" applyBorder="1" applyAlignment="1">
      <alignment horizontal="center" vertical="center"/>
    </xf>
    <xf numFmtId="49" fontId="79" fillId="78" borderId="9" xfId="19" applyNumberFormat="1" applyFont="1" applyFill="1" applyBorder="1" applyAlignment="1">
      <alignment horizontal="center" vertical="center" wrapText="1"/>
    </xf>
    <xf numFmtId="49" fontId="75" fillId="78" borderId="10" xfId="19" applyNumberFormat="1" applyFont="1" applyFill="1" applyBorder="1" applyAlignment="1">
      <alignment horizontal="center" vertical="center" wrapText="1"/>
    </xf>
    <xf numFmtId="0" fontId="83" fillId="0" borderId="38" xfId="0" applyFont="1" applyBorder="1" applyAlignment="1">
      <alignment vertical="center" wrapText="1"/>
    </xf>
    <xf numFmtId="0" fontId="83" fillId="0" borderId="39" xfId="0" applyFont="1" applyBorder="1" applyAlignment="1">
      <alignment vertical="center" wrapText="1"/>
    </xf>
    <xf numFmtId="0" fontId="5" fillId="77" borderId="7" xfId="0" applyFont="1" applyFill="1" applyBorder="1" applyAlignment="1">
      <alignment horizontal="center" vertical="center" wrapText="1" shrinkToFit="1"/>
    </xf>
    <xf numFmtId="0" fontId="5" fillId="77" borderId="6" xfId="0" applyFont="1" applyFill="1" applyBorder="1" applyAlignment="1">
      <alignment horizontal="center" vertical="center" wrapText="1" shrinkToFit="1"/>
    </xf>
    <xf numFmtId="0" fontId="80" fillId="77" borderId="40" xfId="0" applyFont="1" applyFill="1" applyBorder="1" applyAlignment="1">
      <alignment horizontal="center" vertical="top" wrapText="1" shrinkToFit="1"/>
    </xf>
    <xf numFmtId="0" fontId="80" fillId="77" borderId="4" xfId="0" applyFont="1" applyFill="1" applyBorder="1" applyAlignment="1">
      <alignment horizontal="center" vertical="top" wrapText="1" shrinkToFit="1"/>
    </xf>
    <xf numFmtId="0" fontId="80" fillId="77" borderId="41" xfId="0" applyFont="1" applyFill="1" applyBorder="1" applyAlignment="1">
      <alignment horizontal="center" vertical="top" wrapText="1" shrinkToFit="1"/>
    </xf>
    <xf numFmtId="0" fontId="80" fillId="77" borderId="42" xfId="0" applyFont="1" applyFill="1" applyBorder="1" applyAlignment="1">
      <alignment horizontal="center" vertical="top" wrapText="1" shrinkToFit="1"/>
    </xf>
    <xf numFmtId="0" fontId="84" fillId="0" borderId="38" xfId="0" applyFont="1" applyBorder="1" applyAlignment="1">
      <alignment horizontal="center" vertical="center" wrapText="1"/>
    </xf>
    <xf numFmtId="0" fontId="84" fillId="0" borderId="3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80" fillId="77" borderId="43" xfId="0" applyFont="1" applyFill="1" applyBorder="1" applyAlignment="1">
      <alignment horizontal="center" vertical="top" wrapText="1" shrinkToFit="1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0" fontId="5" fillId="3" borderId="34" xfId="0" applyFont="1" applyFill="1" applyBorder="1" applyAlignment="1">
      <alignment horizontal="right" vertical="center"/>
    </xf>
    <xf numFmtId="0" fontId="5" fillId="3" borderId="35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 shrinkToFit="1"/>
    </xf>
    <xf numFmtId="0" fontId="5" fillId="3" borderId="10" xfId="0" applyFont="1" applyFill="1" applyBorder="1" applyAlignment="1">
      <alignment horizontal="right" vertical="center" shrinkToFit="1"/>
    </xf>
    <xf numFmtId="0" fontId="5" fillId="3" borderId="7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82" fillId="76" borderId="9" xfId="0" applyFont="1" applyFill="1" applyBorder="1" applyAlignment="1">
      <alignment horizontal="right" vertical="center"/>
    </xf>
    <xf numFmtId="0" fontId="82" fillId="76" borderId="10" xfId="0" applyFont="1" applyFill="1" applyBorder="1" applyAlignment="1">
      <alignment horizontal="right" vertical="center"/>
    </xf>
    <xf numFmtId="0" fontId="88" fillId="0" borderId="0" xfId="0" applyFont="1">
      <alignment vertical="center"/>
    </xf>
  </cellXfs>
  <cellStyles count="4174">
    <cellStyle name="$" xfId="8"/>
    <cellStyle name="$ 2" xfId="269"/>
    <cellStyle name="$ 2 2" xfId="270"/>
    <cellStyle name="$ 2 3" xfId="271"/>
    <cellStyle name="$ 2 4" xfId="272"/>
    <cellStyle name="$ 2 5" xfId="273"/>
    <cellStyle name="$ 3" xfId="274"/>
    <cellStyle name="$ 4" xfId="275"/>
    <cellStyle name="$ 4 2" xfId="276"/>
    <cellStyle name="$ 5" xfId="268"/>
    <cellStyle name="$_S5K2N1_PRS_R02(2008.01.20)" xfId="9"/>
    <cellStyle name="$_S5K2N1_PRS_R02(2008.01.20) 2" xfId="10"/>
    <cellStyle name="$_S5K2N1_PRS_R02(2008.01.20) 3" xfId="11"/>
    <cellStyle name="$_S5K2N1_PRS_R02(2008.01.20) 4" xfId="277"/>
    <cellStyle name="$_S5K2N1_PRS_R02(2008.01.20)_S5K2P1Y_CDS_Timing_v03" xfId="12"/>
    <cellStyle name="$_S5K2N1_PRS_R02(2008.01.20)_S5K2P1Y_CDS_Timing_v03 2" xfId="278"/>
    <cellStyle name="$_S5K2N1_PRS_R02(2008.01.20)_S5K2P1Y_CDS_Timing_v03 3" xfId="279"/>
    <cellStyle name="20% - Accent1" xfId="280"/>
    <cellStyle name="20% - Accent1 2" xfId="281"/>
    <cellStyle name="20% - Accent1 3" xfId="282"/>
    <cellStyle name="20% - Accent1 4" xfId="283"/>
    <cellStyle name="20% - Accent1 5" xfId="284"/>
    <cellStyle name="20% - Accent1 6" xfId="285"/>
    <cellStyle name="20% - Accent2" xfId="286"/>
    <cellStyle name="20% - Accent2 2" xfId="287"/>
    <cellStyle name="20% - Accent2 3" xfId="288"/>
    <cellStyle name="20% - Accent2 4" xfId="289"/>
    <cellStyle name="20% - Accent2 5" xfId="290"/>
    <cellStyle name="20% - Accent2 6" xfId="291"/>
    <cellStyle name="20% - Accent3" xfId="292"/>
    <cellStyle name="20% - Accent3 2" xfId="293"/>
    <cellStyle name="20% - Accent3 3" xfId="294"/>
    <cellStyle name="20% - Accent3 4" xfId="295"/>
    <cellStyle name="20% - Accent3 5" xfId="296"/>
    <cellStyle name="20% - Accent3 6" xfId="297"/>
    <cellStyle name="20% - Accent4" xfId="298"/>
    <cellStyle name="20% - Accent4 2" xfId="299"/>
    <cellStyle name="20% - Accent4 3" xfId="300"/>
    <cellStyle name="20% - Accent4 4" xfId="301"/>
    <cellStyle name="20% - Accent4 5" xfId="302"/>
    <cellStyle name="20% - Accent4 6" xfId="303"/>
    <cellStyle name="20% - Accent5" xfId="304"/>
    <cellStyle name="20% - Accent5 2" xfId="305"/>
    <cellStyle name="20% - Accent5 3" xfId="306"/>
    <cellStyle name="20% - Accent5 4" xfId="307"/>
    <cellStyle name="20% - Accent5 5" xfId="308"/>
    <cellStyle name="20% - Accent5 6" xfId="309"/>
    <cellStyle name="20% - Accent6" xfId="310"/>
    <cellStyle name="20% - Accent6 2" xfId="311"/>
    <cellStyle name="20% - Accent6 3" xfId="312"/>
    <cellStyle name="20% - Accent6 4" xfId="313"/>
    <cellStyle name="20% - Accent6 5" xfId="314"/>
    <cellStyle name="20% - Accent6 6" xfId="315"/>
    <cellStyle name="20% - 강조색1 10" xfId="316"/>
    <cellStyle name="20% - 강조색1 10 2" xfId="317"/>
    <cellStyle name="20% - 강조색1 11" xfId="318"/>
    <cellStyle name="20% - 강조색1 11 2" xfId="319"/>
    <cellStyle name="20% - 강조색1 12" xfId="320"/>
    <cellStyle name="20% - 강조색1 12 2" xfId="321"/>
    <cellStyle name="20% - 강조색1 13" xfId="322"/>
    <cellStyle name="20% - 강조색1 13 2" xfId="323"/>
    <cellStyle name="20% - 강조색1 14" xfId="324"/>
    <cellStyle name="20% - 강조색1 14 2" xfId="325"/>
    <cellStyle name="20% - 강조색1 15" xfId="326"/>
    <cellStyle name="20% - 강조색1 15 2" xfId="327"/>
    <cellStyle name="20% - 강조색1 16" xfId="328"/>
    <cellStyle name="20% - 강조색1 16 2" xfId="329"/>
    <cellStyle name="20% - 강조색1 17" xfId="330"/>
    <cellStyle name="20% - 강조색1 17 2" xfId="331"/>
    <cellStyle name="20% - 강조색1 18" xfId="332"/>
    <cellStyle name="20% - 강조색1 19" xfId="333"/>
    <cellStyle name="20% - 강조색1 2" xfId="334"/>
    <cellStyle name="20% - 강조색1 2 10" xfId="335"/>
    <cellStyle name="20% - 강조색1 2 11" xfId="336"/>
    <cellStyle name="20% - 강조색1 2 12" xfId="337"/>
    <cellStyle name="20% - 강조색1 2 13" xfId="338"/>
    <cellStyle name="20% - 강조색1 2 14" xfId="339"/>
    <cellStyle name="20% - 강조색1 2 2" xfId="340"/>
    <cellStyle name="20% - 강조색1 2 3" xfId="341"/>
    <cellStyle name="20% - 강조색1 2 4" xfId="342"/>
    <cellStyle name="20% - 강조색1 2 5" xfId="343"/>
    <cellStyle name="20% - 강조색1 2 6" xfId="344"/>
    <cellStyle name="20% - 강조색1 2 7" xfId="345"/>
    <cellStyle name="20% - 강조색1 2 8" xfId="346"/>
    <cellStyle name="20% - 강조색1 2 9" xfId="347"/>
    <cellStyle name="20% - 강조색1 3" xfId="348"/>
    <cellStyle name="20% - 강조색1 3 10" xfId="349"/>
    <cellStyle name="20% - 강조색1 3 11" xfId="350"/>
    <cellStyle name="20% - 강조색1 3 12" xfId="351"/>
    <cellStyle name="20% - 강조색1 3 13" xfId="352"/>
    <cellStyle name="20% - 강조색1 3 2" xfId="353"/>
    <cellStyle name="20% - 강조색1 3 2 2" xfId="354"/>
    <cellStyle name="20% - 강조색1 3 2 3" xfId="355"/>
    <cellStyle name="20% - 강조색1 3 2 4" xfId="356"/>
    <cellStyle name="20% - 강조색1 3 3" xfId="357"/>
    <cellStyle name="20% - 강조색1 3 4" xfId="358"/>
    <cellStyle name="20% - 강조색1 3 5" xfId="359"/>
    <cellStyle name="20% - 강조색1 3 6" xfId="360"/>
    <cellStyle name="20% - 강조색1 3 7" xfId="361"/>
    <cellStyle name="20% - 강조색1 3 8" xfId="362"/>
    <cellStyle name="20% - 강조색1 3 9" xfId="363"/>
    <cellStyle name="20% - 강조색1 4" xfId="364"/>
    <cellStyle name="20% - 강조색1 4 2" xfId="365"/>
    <cellStyle name="20% - 강조색1 4 3" xfId="366"/>
    <cellStyle name="20% - 강조색1 4 4" xfId="367"/>
    <cellStyle name="20% - 강조색1 4 5" xfId="368"/>
    <cellStyle name="20% - 강조색1 4 6" xfId="369"/>
    <cellStyle name="20% - 강조색1 4 7" xfId="370"/>
    <cellStyle name="20% - 강조색1 4 8" xfId="371"/>
    <cellStyle name="20% - 강조색1 5" xfId="372"/>
    <cellStyle name="20% - 강조색1 5 10" xfId="373"/>
    <cellStyle name="20% - 강조색1 5 11" xfId="374"/>
    <cellStyle name="20% - 강조색1 5 12" xfId="375"/>
    <cellStyle name="20% - 강조색1 5 13" xfId="376"/>
    <cellStyle name="20% - 강조색1 5 14" xfId="377"/>
    <cellStyle name="20% - 강조색1 5 15" xfId="378"/>
    <cellStyle name="20% - 강조색1 5 16" xfId="379"/>
    <cellStyle name="20% - 강조색1 5 17" xfId="380"/>
    <cellStyle name="20% - 강조색1 5 2" xfId="381"/>
    <cellStyle name="20% - 강조색1 5 3" xfId="382"/>
    <cellStyle name="20% - 강조색1 5 4" xfId="383"/>
    <cellStyle name="20% - 강조색1 5 5" xfId="384"/>
    <cellStyle name="20% - 강조색1 5 6" xfId="385"/>
    <cellStyle name="20% - 강조색1 5 7" xfId="386"/>
    <cellStyle name="20% - 강조색1 5 8" xfId="387"/>
    <cellStyle name="20% - 강조색1 5 9" xfId="388"/>
    <cellStyle name="20% - 강조색1 6" xfId="389"/>
    <cellStyle name="20% - 강조색1 6 2" xfId="390"/>
    <cellStyle name="20% - 강조색1 6 3" xfId="391"/>
    <cellStyle name="20% - 강조색1 6 4" xfId="392"/>
    <cellStyle name="20% - 강조색1 7" xfId="393"/>
    <cellStyle name="20% - 강조색1 8" xfId="394"/>
    <cellStyle name="20% - 강조색1 9" xfId="395"/>
    <cellStyle name="20% - 강조색2 10" xfId="396"/>
    <cellStyle name="20% - 강조색2 10 2" xfId="397"/>
    <cellStyle name="20% - 강조색2 11" xfId="398"/>
    <cellStyle name="20% - 강조색2 11 2" xfId="399"/>
    <cellStyle name="20% - 강조색2 12" xfId="400"/>
    <cellStyle name="20% - 강조색2 12 2" xfId="401"/>
    <cellStyle name="20% - 강조색2 13" xfId="402"/>
    <cellStyle name="20% - 강조색2 13 2" xfId="403"/>
    <cellStyle name="20% - 강조색2 14" xfId="404"/>
    <cellStyle name="20% - 강조색2 14 2" xfId="405"/>
    <cellStyle name="20% - 강조색2 15" xfId="406"/>
    <cellStyle name="20% - 강조색2 15 2" xfId="407"/>
    <cellStyle name="20% - 강조색2 16" xfId="408"/>
    <cellStyle name="20% - 강조색2 16 2" xfId="409"/>
    <cellStyle name="20% - 강조색2 17" xfId="410"/>
    <cellStyle name="20% - 강조색2 17 2" xfId="411"/>
    <cellStyle name="20% - 강조색2 18" xfId="412"/>
    <cellStyle name="20% - 강조색2 19" xfId="413"/>
    <cellStyle name="20% - 강조색2 2" xfId="414"/>
    <cellStyle name="20% - 강조색2 2 10" xfId="415"/>
    <cellStyle name="20% - 강조색2 2 11" xfId="416"/>
    <cellStyle name="20% - 강조색2 2 12" xfId="417"/>
    <cellStyle name="20% - 강조색2 2 13" xfId="418"/>
    <cellStyle name="20% - 강조색2 2 14" xfId="419"/>
    <cellStyle name="20% - 강조색2 2 2" xfId="420"/>
    <cellStyle name="20% - 강조색2 2 3" xfId="421"/>
    <cellStyle name="20% - 강조색2 2 4" xfId="422"/>
    <cellStyle name="20% - 강조색2 2 5" xfId="423"/>
    <cellStyle name="20% - 강조색2 2 6" xfId="424"/>
    <cellStyle name="20% - 강조색2 2 7" xfId="425"/>
    <cellStyle name="20% - 강조색2 2 8" xfId="426"/>
    <cellStyle name="20% - 강조색2 2 9" xfId="427"/>
    <cellStyle name="20% - 강조색2 3" xfId="428"/>
    <cellStyle name="20% - 강조색2 3 10" xfId="429"/>
    <cellStyle name="20% - 강조색2 3 11" xfId="430"/>
    <cellStyle name="20% - 강조색2 3 12" xfId="431"/>
    <cellStyle name="20% - 강조색2 3 13" xfId="432"/>
    <cellStyle name="20% - 강조색2 3 2" xfId="433"/>
    <cellStyle name="20% - 강조색2 3 2 2" xfId="434"/>
    <cellStyle name="20% - 강조색2 3 2 3" xfId="435"/>
    <cellStyle name="20% - 강조색2 3 2 4" xfId="436"/>
    <cellStyle name="20% - 강조색2 3 3" xfId="437"/>
    <cellStyle name="20% - 강조색2 3 4" xfId="438"/>
    <cellStyle name="20% - 강조색2 3 5" xfId="439"/>
    <cellStyle name="20% - 강조색2 3 6" xfId="440"/>
    <cellStyle name="20% - 강조색2 3 7" xfId="441"/>
    <cellStyle name="20% - 강조색2 3 8" xfId="442"/>
    <cellStyle name="20% - 강조색2 3 9" xfId="443"/>
    <cellStyle name="20% - 강조색2 4" xfId="444"/>
    <cellStyle name="20% - 강조색2 4 2" xfId="445"/>
    <cellStyle name="20% - 강조색2 4 3" xfId="446"/>
    <cellStyle name="20% - 강조색2 4 4" xfId="447"/>
    <cellStyle name="20% - 강조색2 4 5" xfId="448"/>
    <cellStyle name="20% - 강조색2 4 6" xfId="449"/>
    <cellStyle name="20% - 강조색2 4 7" xfId="450"/>
    <cellStyle name="20% - 강조색2 4 8" xfId="451"/>
    <cellStyle name="20% - 강조색2 5" xfId="452"/>
    <cellStyle name="20% - 강조색2 5 10" xfId="453"/>
    <cellStyle name="20% - 강조색2 5 11" xfId="454"/>
    <cellStyle name="20% - 강조색2 5 12" xfId="455"/>
    <cellStyle name="20% - 강조색2 5 13" xfId="456"/>
    <cellStyle name="20% - 강조색2 5 14" xfId="457"/>
    <cellStyle name="20% - 강조색2 5 15" xfId="458"/>
    <cellStyle name="20% - 강조색2 5 16" xfId="459"/>
    <cellStyle name="20% - 강조색2 5 17" xfId="460"/>
    <cellStyle name="20% - 강조색2 5 2" xfId="461"/>
    <cellStyle name="20% - 강조색2 5 3" xfId="462"/>
    <cellStyle name="20% - 강조색2 5 4" xfId="463"/>
    <cellStyle name="20% - 강조색2 5 5" xfId="464"/>
    <cellStyle name="20% - 강조색2 5 6" xfId="465"/>
    <cellStyle name="20% - 강조색2 5 7" xfId="466"/>
    <cellStyle name="20% - 강조색2 5 8" xfId="467"/>
    <cellStyle name="20% - 강조색2 5 9" xfId="468"/>
    <cellStyle name="20% - 강조색2 6" xfId="469"/>
    <cellStyle name="20% - 강조색2 6 2" xfId="470"/>
    <cellStyle name="20% - 강조색2 6 3" xfId="471"/>
    <cellStyle name="20% - 강조색2 6 4" xfId="472"/>
    <cellStyle name="20% - 강조색2 7" xfId="473"/>
    <cellStyle name="20% - 강조색2 8" xfId="474"/>
    <cellStyle name="20% - 강조색2 9" xfId="475"/>
    <cellStyle name="20% - 강조색3 10" xfId="476"/>
    <cellStyle name="20% - 강조색3 10 2" xfId="477"/>
    <cellStyle name="20% - 강조색3 11" xfId="478"/>
    <cellStyle name="20% - 강조색3 11 2" xfId="479"/>
    <cellStyle name="20% - 강조색3 12" xfId="480"/>
    <cellStyle name="20% - 강조색3 12 2" xfId="481"/>
    <cellStyle name="20% - 강조색3 13" xfId="482"/>
    <cellStyle name="20% - 강조색3 13 2" xfId="483"/>
    <cellStyle name="20% - 강조색3 14" xfId="484"/>
    <cellStyle name="20% - 강조색3 14 2" xfId="485"/>
    <cellStyle name="20% - 강조색3 15" xfId="486"/>
    <cellStyle name="20% - 강조색3 15 2" xfId="487"/>
    <cellStyle name="20% - 강조색3 16" xfId="488"/>
    <cellStyle name="20% - 강조색3 16 2" xfId="489"/>
    <cellStyle name="20% - 강조색3 17" xfId="490"/>
    <cellStyle name="20% - 강조색3 17 2" xfId="491"/>
    <cellStyle name="20% - 강조색3 18" xfId="492"/>
    <cellStyle name="20% - 강조색3 19" xfId="493"/>
    <cellStyle name="20% - 강조색3 2" xfId="494"/>
    <cellStyle name="20% - 강조색3 2 10" xfId="495"/>
    <cellStyle name="20% - 강조색3 2 11" xfId="496"/>
    <cellStyle name="20% - 강조색3 2 12" xfId="497"/>
    <cellStyle name="20% - 강조색3 2 13" xfId="498"/>
    <cellStyle name="20% - 강조색3 2 14" xfId="499"/>
    <cellStyle name="20% - 강조색3 2 2" xfId="500"/>
    <cellStyle name="20% - 강조색3 2 3" xfId="501"/>
    <cellStyle name="20% - 강조색3 2 4" xfId="502"/>
    <cellStyle name="20% - 강조색3 2 5" xfId="503"/>
    <cellStyle name="20% - 강조색3 2 6" xfId="504"/>
    <cellStyle name="20% - 강조색3 2 7" xfId="505"/>
    <cellStyle name="20% - 강조색3 2 8" xfId="506"/>
    <cellStyle name="20% - 강조색3 2 9" xfId="507"/>
    <cellStyle name="20% - 강조색3 3" xfId="508"/>
    <cellStyle name="20% - 강조색3 3 10" xfId="509"/>
    <cellStyle name="20% - 강조색3 3 11" xfId="510"/>
    <cellStyle name="20% - 강조색3 3 12" xfId="511"/>
    <cellStyle name="20% - 강조색3 3 13" xfId="512"/>
    <cellStyle name="20% - 강조색3 3 2" xfId="513"/>
    <cellStyle name="20% - 강조색3 3 2 2" xfId="514"/>
    <cellStyle name="20% - 강조색3 3 2 3" xfId="515"/>
    <cellStyle name="20% - 강조색3 3 2 4" xfId="516"/>
    <cellStyle name="20% - 강조색3 3 3" xfId="517"/>
    <cellStyle name="20% - 강조색3 3 4" xfId="518"/>
    <cellStyle name="20% - 강조색3 3 5" xfId="519"/>
    <cellStyle name="20% - 강조색3 3 6" xfId="520"/>
    <cellStyle name="20% - 강조색3 3 7" xfId="521"/>
    <cellStyle name="20% - 강조색3 3 8" xfId="522"/>
    <cellStyle name="20% - 강조색3 3 9" xfId="523"/>
    <cellStyle name="20% - 강조색3 4" xfId="524"/>
    <cellStyle name="20% - 강조색3 4 2" xfId="525"/>
    <cellStyle name="20% - 강조색3 4 3" xfId="526"/>
    <cellStyle name="20% - 강조색3 4 4" xfId="527"/>
    <cellStyle name="20% - 강조색3 4 5" xfId="528"/>
    <cellStyle name="20% - 강조색3 4 6" xfId="529"/>
    <cellStyle name="20% - 강조색3 4 7" xfId="530"/>
    <cellStyle name="20% - 강조색3 4 8" xfId="531"/>
    <cellStyle name="20% - 강조색3 5" xfId="532"/>
    <cellStyle name="20% - 강조색3 5 10" xfId="533"/>
    <cellStyle name="20% - 강조색3 5 11" xfId="534"/>
    <cellStyle name="20% - 강조색3 5 12" xfId="535"/>
    <cellStyle name="20% - 강조색3 5 13" xfId="536"/>
    <cellStyle name="20% - 강조색3 5 14" xfId="537"/>
    <cellStyle name="20% - 강조색3 5 15" xfId="538"/>
    <cellStyle name="20% - 강조색3 5 16" xfId="539"/>
    <cellStyle name="20% - 강조색3 5 17" xfId="540"/>
    <cellStyle name="20% - 강조색3 5 2" xfId="541"/>
    <cellStyle name="20% - 강조색3 5 3" xfId="542"/>
    <cellStyle name="20% - 강조색3 5 4" xfId="543"/>
    <cellStyle name="20% - 강조색3 5 5" xfId="544"/>
    <cellStyle name="20% - 강조색3 5 6" xfId="545"/>
    <cellStyle name="20% - 강조색3 5 7" xfId="546"/>
    <cellStyle name="20% - 강조색3 5 8" xfId="547"/>
    <cellStyle name="20% - 강조색3 5 9" xfId="548"/>
    <cellStyle name="20% - 강조색3 6" xfId="549"/>
    <cellStyle name="20% - 강조색3 6 2" xfId="550"/>
    <cellStyle name="20% - 강조색3 6 3" xfId="551"/>
    <cellStyle name="20% - 강조색3 6 4" xfId="552"/>
    <cellStyle name="20% - 강조색3 7" xfId="553"/>
    <cellStyle name="20% - 강조색3 8" xfId="554"/>
    <cellStyle name="20% - 강조색3 9" xfId="555"/>
    <cellStyle name="20% - 강조색4 10" xfId="556"/>
    <cellStyle name="20% - 강조색4 10 2" xfId="557"/>
    <cellStyle name="20% - 강조색4 11" xfId="558"/>
    <cellStyle name="20% - 강조색4 11 2" xfId="559"/>
    <cellStyle name="20% - 강조색4 12" xfId="560"/>
    <cellStyle name="20% - 강조색4 12 2" xfId="561"/>
    <cellStyle name="20% - 강조색4 13" xfId="562"/>
    <cellStyle name="20% - 강조색4 13 2" xfId="563"/>
    <cellStyle name="20% - 강조색4 14" xfId="564"/>
    <cellStyle name="20% - 강조색4 14 2" xfId="565"/>
    <cellStyle name="20% - 강조색4 15" xfId="566"/>
    <cellStyle name="20% - 강조색4 15 2" xfId="567"/>
    <cellStyle name="20% - 강조색4 16" xfId="568"/>
    <cellStyle name="20% - 강조색4 16 2" xfId="569"/>
    <cellStyle name="20% - 강조색4 17" xfId="570"/>
    <cellStyle name="20% - 강조색4 17 2" xfId="571"/>
    <cellStyle name="20% - 강조색4 18" xfId="572"/>
    <cellStyle name="20% - 강조색4 19" xfId="573"/>
    <cellStyle name="20% - 강조색4 2" xfId="574"/>
    <cellStyle name="20% - 강조색4 2 10" xfId="575"/>
    <cellStyle name="20% - 강조색4 2 11" xfId="576"/>
    <cellStyle name="20% - 강조색4 2 12" xfId="577"/>
    <cellStyle name="20% - 강조색4 2 13" xfId="578"/>
    <cellStyle name="20% - 강조색4 2 14" xfId="579"/>
    <cellStyle name="20% - 강조색4 2 2" xfId="580"/>
    <cellStyle name="20% - 강조색4 2 3" xfId="581"/>
    <cellStyle name="20% - 강조색4 2 4" xfId="582"/>
    <cellStyle name="20% - 강조색4 2 5" xfId="583"/>
    <cellStyle name="20% - 강조색4 2 6" xfId="584"/>
    <cellStyle name="20% - 강조색4 2 7" xfId="585"/>
    <cellStyle name="20% - 강조색4 2 8" xfId="586"/>
    <cellStyle name="20% - 강조색4 2 9" xfId="587"/>
    <cellStyle name="20% - 강조색4 3" xfId="588"/>
    <cellStyle name="20% - 강조색4 3 10" xfId="589"/>
    <cellStyle name="20% - 강조색4 3 11" xfId="590"/>
    <cellStyle name="20% - 강조색4 3 12" xfId="591"/>
    <cellStyle name="20% - 강조색4 3 13" xfId="592"/>
    <cellStyle name="20% - 강조색4 3 2" xfId="593"/>
    <cellStyle name="20% - 강조색4 3 2 2" xfId="594"/>
    <cellStyle name="20% - 강조색4 3 2 3" xfId="595"/>
    <cellStyle name="20% - 강조색4 3 2 4" xfId="596"/>
    <cellStyle name="20% - 강조색4 3 3" xfId="597"/>
    <cellStyle name="20% - 강조색4 3 4" xfId="598"/>
    <cellStyle name="20% - 강조색4 3 5" xfId="599"/>
    <cellStyle name="20% - 강조색4 3 6" xfId="600"/>
    <cellStyle name="20% - 강조색4 3 7" xfId="601"/>
    <cellStyle name="20% - 강조색4 3 8" xfId="602"/>
    <cellStyle name="20% - 강조색4 3 9" xfId="603"/>
    <cellStyle name="20% - 강조색4 4" xfId="604"/>
    <cellStyle name="20% - 강조색4 4 2" xfId="605"/>
    <cellStyle name="20% - 강조색4 4 3" xfId="606"/>
    <cellStyle name="20% - 강조색4 4 4" xfId="607"/>
    <cellStyle name="20% - 강조색4 4 5" xfId="608"/>
    <cellStyle name="20% - 강조색4 4 6" xfId="609"/>
    <cellStyle name="20% - 강조색4 4 7" xfId="610"/>
    <cellStyle name="20% - 강조색4 4 8" xfId="611"/>
    <cellStyle name="20% - 강조색4 5" xfId="612"/>
    <cellStyle name="20% - 강조색4 5 10" xfId="613"/>
    <cellStyle name="20% - 강조색4 5 11" xfId="614"/>
    <cellStyle name="20% - 강조색4 5 12" xfId="615"/>
    <cellStyle name="20% - 강조색4 5 13" xfId="616"/>
    <cellStyle name="20% - 강조색4 5 14" xfId="617"/>
    <cellStyle name="20% - 강조색4 5 15" xfId="618"/>
    <cellStyle name="20% - 강조색4 5 16" xfId="619"/>
    <cellStyle name="20% - 강조색4 5 17" xfId="620"/>
    <cellStyle name="20% - 강조색4 5 2" xfId="621"/>
    <cellStyle name="20% - 강조색4 5 3" xfId="622"/>
    <cellStyle name="20% - 강조색4 5 4" xfId="623"/>
    <cellStyle name="20% - 강조색4 5 5" xfId="624"/>
    <cellStyle name="20% - 강조색4 5 6" xfId="625"/>
    <cellStyle name="20% - 강조색4 5 7" xfId="626"/>
    <cellStyle name="20% - 강조색4 5 8" xfId="627"/>
    <cellStyle name="20% - 강조색4 5 9" xfId="628"/>
    <cellStyle name="20% - 강조색4 6" xfId="629"/>
    <cellStyle name="20% - 강조색4 6 2" xfId="630"/>
    <cellStyle name="20% - 강조색4 6 3" xfId="631"/>
    <cellStyle name="20% - 강조색4 6 4" xfId="632"/>
    <cellStyle name="20% - 강조색4 7" xfId="633"/>
    <cellStyle name="20% - 강조색4 8" xfId="634"/>
    <cellStyle name="20% - 강조색4 9" xfId="635"/>
    <cellStyle name="20% - 강조색5 10" xfId="636"/>
    <cellStyle name="20% - 강조색5 10 2" xfId="637"/>
    <cellStyle name="20% - 강조색5 11" xfId="638"/>
    <cellStyle name="20% - 강조색5 11 2" xfId="639"/>
    <cellStyle name="20% - 강조색5 12" xfId="640"/>
    <cellStyle name="20% - 강조색5 12 2" xfId="641"/>
    <cellStyle name="20% - 강조색5 13" xfId="642"/>
    <cellStyle name="20% - 강조색5 13 2" xfId="643"/>
    <cellStyle name="20% - 강조색5 14" xfId="644"/>
    <cellStyle name="20% - 강조색5 14 2" xfId="645"/>
    <cellStyle name="20% - 강조색5 15" xfId="646"/>
    <cellStyle name="20% - 강조색5 15 2" xfId="647"/>
    <cellStyle name="20% - 강조색5 16" xfId="648"/>
    <cellStyle name="20% - 강조색5 16 2" xfId="649"/>
    <cellStyle name="20% - 강조색5 17" xfId="650"/>
    <cellStyle name="20% - 강조색5 17 2" xfId="651"/>
    <cellStyle name="20% - 강조색5 18" xfId="652"/>
    <cellStyle name="20% - 강조색5 19" xfId="653"/>
    <cellStyle name="20% - 강조색5 2" xfId="654"/>
    <cellStyle name="20% - 강조색5 2 10" xfId="655"/>
    <cellStyle name="20% - 강조색5 2 11" xfId="656"/>
    <cellStyle name="20% - 강조색5 2 12" xfId="657"/>
    <cellStyle name="20% - 강조색5 2 13" xfId="658"/>
    <cellStyle name="20% - 강조색5 2 14" xfId="659"/>
    <cellStyle name="20% - 강조색5 2 2" xfId="660"/>
    <cellStyle name="20% - 강조색5 2 3" xfId="661"/>
    <cellStyle name="20% - 강조색5 2 4" xfId="662"/>
    <cellStyle name="20% - 강조색5 2 5" xfId="663"/>
    <cellStyle name="20% - 강조색5 2 6" xfId="664"/>
    <cellStyle name="20% - 강조색5 2 7" xfId="665"/>
    <cellStyle name="20% - 강조색5 2 8" xfId="666"/>
    <cellStyle name="20% - 강조색5 2 9" xfId="667"/>
    <cellStyle name="20% - 강조색5 3" xfId="668"/>
    <cellStyle name="20% - 강조색5 3 10" xfId="669"/>
    <cellStyle name="20% - 강조색5 3 11" xfId="670"/>
    <cellStyle name="20% - 강조색5 3 12" xfId="671"/>
    <cellStyle name="20% - 강조색5 3 13" xfId="672"/>
    <cellStyle name="20% - 강조색5 3 2" xfId="673"/>
    <cellStyle name="20% - 강조색5 3 2 2" xfId="674"/>
    <cellStyle name="20% - 강조색5 3 2 3" xfId="675"/>
    <cellStyle name="20% - 강조색5 3 2 4" xfId="676"/>
    <cellStyle name="20% - 강조색5 3 3" xfId="677"/>
    <cellStyle name="20% - 강조색5 3 4" xfId="678"/>
    <cellStyle name="20% - 강조색5 3 5" xfId="679"/>
    <cellStyle name="20% - 강조색5 3 6" xfId="680"/>
    <cellStyle name="20% - 강조색5 3 7" xfId="681"/>
    <cellStyle name="20% - 강조색5 3 8" xfId="682"/>
    <cellStyle name="20% - 강조색5 3 9" xfId="683"/>
    <cellStyle name="20% - 강조색5 4" xfId="684"/>
    <cellStyle name="20% - 강조색5 4 2" xfId="685"/>
    <cellStyle name="20% - 강조색5 4 3" xfId="686"/>
    <cellStyle name="20% - 강조색5 4 4" xfId="687"/>
    <cellStyle name="20% - 강조색5 4 5" xfId="688"/>
    <cellStyle name="20% - 강조색5 4 6" xfId="689"/>
    <cellStyle name="20% - 강조색5 4 7" xfId="690"/>
    <cellStyle name="20% - 강조색5 4 8" xfId="691"/>
    <cellStyle name="20% - 강조색5 5" xfId="692"/>
    <cellStyle name="20% - 강조색5 5 10" xfId="693"/>
    <cellStyle name="20% - 강조색5 5 11" xfId="694"/>
    <cellStyle name="20% - 강조색5 5 12" xfId="695"/>
    <cellStyle name="20% - 강조색5 5 13" xfId="696"/>
    <cellStyle name="20% - 강조색5 5 14" xfId="697"/>
    <cellStyle name="20% - 강조색5 5 15" xfId="698"/>
    <cellStyle name="20% - 강조색5 5 16" xfId="699"/>
    <cellStyle name="20% - 강조색5 5 17" xfId="700"/>
    <cellStyle name="20% - 강조색5 5 2" xfId="701"/>
    <cellStyle name="20% - 강조색5 5 3" xfId="702"/>
    <cellStyle name="20% - 강조색5 5 4" xfId="703"/>
    <cellStyle name="20% - 강조색5 5 5" xfId="704"/>
    <cellStyle name="20% - 강조색5 5 6" xfId="705"/>
    <cellStyle name="20% - 강조색5 5 7" xfId="706"/>
    <cellStyle name="20% - 강조색5 5 8" xfId="707"/>
    <cellStyle name="20% - 강조색5 5 9" xfId="708"/>
    <cellStyle name="20% - 강조색5 6" xfId="709"/>
    <cellStyle name="20% - 강조색5 6 2" xfId="710"/>
    <cellStyle name="20% - 강조색5 6 3" xfId="711"/>
    <cellStyle name="20% - 강조색5 6 4" xfId="712"/>
    <cellStyle name="20% - 강조색5 7" xfId="713"/>
    <cellStyle name="20% - 강조색5 8" xfId="714"/>
    <cellStyle name="20% - 강조색5 9" xfId="715"/>
    <cellStyle name="20% - 강조색6 10" xfId="716"/>
    <cellStyle name="20% - 강조색6 10 2" xfId="717"/>
    <cellStyle name="20% - 강조색6 11" xfId="718"/>
    <cellStyle name="20% - 강조색6 11 2" xfId="719"/>
    <cellStyle name="20% - 강조색6 12" xfId="720"/>
    <cellStyle name="20% - 강조색6 12 2" xfId="721"/>
    <cellStyle name="20% - 강조색6 13" xfId="722"/>
    <cellStyle name="20% - 강조색6 13 2" xfId="723"/>
    <cellStyle name="20% - 강조색6 14" xfId="724"/>
    <cellStyle name="20% - 강조색6 14 2" xfId="725"/>
    <cellStyle name="20% - 강조색6 15" xfId="726"/>
    <cellStyle name="20% - 강조색6 15 2" xfId="727"/>
    <cellStyle name="20% - 강조색6 16" xfId="728"/>
    <cellStyle name="20% - 강조색6 16 2" xfId="729"/>
    <cellStyle name="20% - 강조색6 17" xfId="730"/>
    <cellStyle name="20% - 강조색6 17 2" xfId="731"/>
    <cellStyle name="20% - 강조색6 18" xfId="732"/>
    <cellStyle name="20% - 강조색6 19" xfId="733"/>
    <cellStyle name="20% - 강조색6 2" xfId="734"/>
    <cellStyle name="20% - 강조색6 2 10" xfId="735"/>
    <cellStyle name="20% - 강조색6 2 11" xfId="736"/>
    <cellStyle name="20% - 강조색6 2 12" xfId="737"/>
    <cellStyle name="20% - 강조색6 2 13" xfId="738"/>
    <cellStyle name="20% - 강조색6 2 14" xfId="739"/>
    <cellStyle name="20% - 강조색6 2 2" xfId="740"/>
    <cellStyle name="20% - 강조색6 2 3" xfId="741"/>
    <cellStyle name="20% - 강조색6 2 4" xfId="742"/>
    <cellStyle name="20% - 강조색6 2 5" xfId="743"/>
    <cellStyle name="20% - 강조색6 2 6" xfId="744"/>
    <cellStyle name="20% - 강조색6 2 7" xfId="745"/>
    <cellStyle name="20% - 강조색6 2 8" xfId="746"/>
    <cellStyle name="20% - 강조색6 2 9" xfId="747"/>
    <cellStyle name="20% - 강조색6 3" xfId="748"/>
    <cellStyle name="20% - 강조색6 3 10" xfId="749"/>
    <cellStyle name="20% - 강조색6 3 11" xfId="750"/>
    <cellStyle name="20% - 강조색6 3 12" xfId="751"/>
    <cellStyle name="20% - 강조색6 3 13" xfId="752"/>
    <cellStyle name="20% - 강조색6 3 2" xfId="753"/>
    <cellStyle name="20% - 강조색6 3 2 2" xfId="754"/>
    <cellStyle name="20% - 강조색6 3 2 3" xfId="755"/>
    <cellStyle name="20% - 강조색6 3 2 4" xfId="756"/>
    <cellStyle name="20% - 강조색6 3 3" xfId="757"/>
    <cellStyle name="20% - 강조색6 3 4" xfId="758"/>
    <cellStyle name="20% - 강조색6 3 5" xfId="759"/>
    <cellStyle name="20% - 강조색6 3 6" xfId="760"/>
    <cellStyle name="20% - 강조색6 3 7" xfId="761"/>
    <cellStyle name="20% - 강조색6 3 8" xfId="762"/>
    <cellStyle name="20% - 강조색6 3 9" xfId="763"/>
    <cellStyle name="20% - 강조색6 4" xfId="764"/>
    <cellStyle name="20% - 강조색6 4 2" xfId="765"/>
    <cellStyle name="20% - 강조색6 4 3" xfId="766"/>
    <cellStyle name="20% - 강조색6 4 4" xfId="767"/>
    <cellStyle name="20% - 강조색6 4 5" xfId="768"/>
    <cellStyle name="20% - 강조색6 4 6" xfId="769"/>
    <cellStyle name="20% - 강조색6 4 7" xfId="770"/>
    <cellStyle name="20% - 강조색6 4 8" xfId="771"/>
    <cellStyle name="20% - 강조색6 5" xfId="772"/>
    <cellStyle name="20% - 강조색6 5 10" xfId="773"/>
    <cellStyle name="20% - 강조색6 5 11" xfId="774"/>
    <cellStyle name="20% - 강조색6 5 12" xfId="775"/>
    <cellStyle name="20% - 강조색6 5 13" xfId="776"/>
    <cellStyle name="20% - 강조색6 5 14" xfId="777"/>
    <cellStyle name="20% - 강조색6 5 15" xfId="778"/>
    <cellStyle name="20% - 강조색6 5 16" xfId="779"/>
    <cellStyle name="20% - 강조색6 5 17" xfId="780"/>
    <cellStyle name="20% - 강조색6 5 2" xfId="781"/>
    <cellStyle name="20% - 강조색6 5 3" xfId="782"/>
    <cellStyle name="20% - 강조색6 5 4" xfId="783"/>
    <cellStyle name="20% - 강조색6 5 5" xfId="784"/>
    <cellStyle name="20% - 강조색6 5 6" xfId="785"/>
    <cellStyle name="20% - 강조색6 5 7" xfId="786"/>
    <cellStyle name="20% - 강조색6 5 8" xfId="787"/>
    <cellStyle name="20% - 강조색6 5 9" xfId="788"/>
    <cellStyle name="20% - 강조색6 6" xfId="789"/>
    <cellStyle name="20% - 강조색6 6 2" xfId="790"/>
    <cellStyle name="20% - 강조색6 6 3" xfId="791"/>
    <cellStyle name="20% - 강조색6 6 4" xfId="792"/>
    <cellStyle name="20% - 강조색6 7" xfId="793"/>
    <cellStyle name="20% - 강조색6 8" xfId="794"/>
    <cellStyle name="20% - 강조색6 9" xfId="795"/>
    <cellStyle name="40% - Accent1" xfId="796"/>
    <cellStyle name="40% - Accent1 2" xfId="797"/>
    <cellStyle name="40% - Accent1 3" xfId="798"/>
    <cellStyle name="40% - Accent1 4" xfId="799"/>
    <cellStyle name="40% - Accent1 5" xfId="800"/>
    <cellStyle name="40% - Accent1 6" xfId="801"/>
    <cellStyle name="40% - Accent2" xfId="802"/>
    <cellStyle name="40% - Accent2 2" xfId="803"/>
    <cellStyle name="40% - Accent2 3" xfId="804"/>
    <cellStyle name="40% - Accent2 4" xfId="805"/>
    <cellStyle name="40% - Accent2 5" xfId="806"/>
    <cellStyle name="40% - Accent2 6" xfId="807"/>
    <cellStyle name="40% - Accent3" xfId="808"/>
    <cellStyle name="40% - Accent3 2" xfId="809"/>
    <cellStyle name="40% - Accent3 3" xfId="810"/>
    <cellStyle name="40% - Accent3 4" xfId="811"/>
    <cellStyle name="40% - Accent3 5" xfId="812"/>
    <cellStyle name="40% - Accent3 6" xfId="813"/>
    <cellStyle name="40% - Accent4" xfId="814"/>
    <cellStyle name="40% - Accent4 2" xfId="815"/>
    <cellStyle name="40% - Accent4 3" xfId="816"/>
    <cellStyle name="40% - Accent4 4" xfId="817"/>
    <cellStyle name="40% - Accent4 5" xfId="818"/>
    <cellStyle name="40% - Accent4 6" xfId="819"/>
    <cellStyle name="40% - Accent5" xfId="820"/>
    <cellStyle name="40% - Accent5 2" xfId="821"/>
    <cellStyle name="40% - Accent5 3" xfId="822"/>
    <cellStyle name="40% - Accent5 4" xfId="823"/>
    <cellStyle name="40% - Accent5 5" xfId="824"/>
    <cellStyle name="40% - Accent5 6" xfId="825"/>
    <cellStyle name="40% - Accent6" xfId="826"/>
    <cellStyle name="40% - Accent6 2" xfId="827"/>
    <cellStyle name="40% - Accent6 3" xfId="828"/>
    <cellStyle name="40% - Accent6 4" xfId="829"/>
    <cellStyle name="40% - Accent6 5" xfId="830"/>
    <cellStyle name="40% - Accent6 6" xfId="831"/>
    <cellStyle name="40% - 강조색1 10" xfId="832"/>
    <cellStyle name="40% - 강조색1 10 2" xfId="833"/>
    <cellStyle name="40% - 강조색1 11" xfId="834"/>
    <cellStyle name="40% - 강조색1 11 2" xfId="835"/>
    <cellStyle name="40% - 강조색1 12" xfId="836"/>
    <cellStyle name="40% - 강조색1 12 2" xfId="837"/>
    <cellStyle name="40% - 강조색1 13" xfId="838"/>
    <cellStyle name="40% - 강조색1 13 2" xfId="839"/>
    <cellStyle name="40% - 강조색1 14" xfId="840"/>
    <cellStyle name="40% - 강조색1 14 2" xfId="841"/>
    <cellStyle name="40% - 강조색1 15" xfId="842"/>
    <cellStyle name="40% - 강조색1 15 2" xfId="843"/>
    <cellStyle name="40% - 강조색1 16" xfId="844"/>
    <cellStyle name="40% - 강조색1 16 2" xfId="845"/>
    <cellStyle name="40% - 강조색1 17" xfId="846"/>
    <cellStyle name="40% - 강조색1 17 2" xfId="847"/>
    <cellStyle name="40% - 강조색1 18" xfId="848"/>
    <cellStyle name="40% - 강조색1 19" xfId="849"/>
    <cellStyle name="40% - 강조색1 2" xfId="850"/>
    <cellStyle name="40% - 강조색1 2 10" xfId="851"/>
    <cellStyle name="40% - 강조색1 2 11" xfId="852"/>
    <cellStyle name="40% - 강조색1 2 12" xfId="853"/>
    <cellStyle name="40% - 강조색1 2 13" xfId="854"/>
    <cellStyle name="40% - 강조색1 2 14" xfId="855"/>
    <cellStyle name="40% - 강조색1 2 2" xfId="856"/>
    <cellStyle name="40% - 강조색1 2 3" xfId="857"/>
    <cellStyle name="40% - 강조색1 2 4" xfId="858"/>
    <cellStyle name="40% - 강조색1 2 5" xfId="859"/>
    <cellStyle name="40% - 강조색1 2 6" xfId="860"/>
    <cellStyle name="40% - 강조색1 2 7" xfId="861"/>
    <cellStyle name="40% - 강조색1 2 8" xfId="862"/>
    <cellStyle name="40% - 강조색1 2 9" xfId="863"/>
    <cellStyle name="40% - 강조색1 3" xfId="864"/>
    <cellStyle name="40% - 강조색1 3 10" xfId="865"/>
    <cellStyle name="40% - 강조색1 3 11" xfId="866"/>
    <cellStyle name="40% - 강조색1 3 12" xfId="867"/>
    <cellStyle name="40% - 강조색1 3 13" xfId="868"/>
    <cellStyle name="40% - 강조색1 3 2" xfId="869"/>
    <cellStyle name="40% - 강조색1 3 2 2" xfId="870"/>
    <cellStyle name="40% - 강조색1 3 2 3" xfId="871"/>
    <cellStyle name="40% - 강조색1 3 2 4" xfId="872"/>
    <cellStyle name="40% - 강조색1 3 3" xfId="873"/>
    <cellStyle name="40% - 강조색1 3 4" xfId="874"/>
    <cellStyle name="40% - 강조색1 3 5" xfId="875"/>
    <cellStyle name="40% - 강조색1 3 6" xfId="876"/>
    <cellStyle name="40% - 강조색1 3 7" xfId="877"/>
    <cellStyle name="40% - 강조색1 3 8" xfId="878"/>
    <cellStyle name="40% - 강조색1 3 9" xfId="879"/>
    <cellStyle name="40% - 강조색1 4" xfId="880"/>
    <cellStyle name="40% - 강조색1 4 2" xfId="881"/>
    <cellStyle name="40% - 강조색1 4 3" xfId="882"/>
    <cellStyle name="40% - 강조색1 4 4" xfId="883"/>
    <cellStyle name="40% - 강조색1 4 5" xfId="884"/>
    <cellStyle name="40% - 강조색1 4 6" xfId="885"/>
    <cellStyle name="40% - 강조색1 4 7" xfId="886"/>
    <cellStyle name="40% - 강조색1 4 8" xfId="887"/>
    <cellStyle name="40% - 강조색1 5" xfId="888"/>
    <cellStyle name="40% - 강조색1 5 10" xfId="889"/>
    <cellStyle name="40% - 강조색1 5 11" xfId="890"/>
    <cellStyle name="40% - 강조색1 5 12" xfId="891"/>
    <cellStyle name="40% - 강조색1 5 13" xfId="892"/>
    <cellStyle name="40% - 강조색1 5 14" xfId="893"/>
    <cellStyle name="40% - 강조색1 5 15" xfId="894"/>
    <cellStyle name="40% - 강조색1 5 16" xfId="895"/>
    <cellStyle name="40% - 강조색1 5 17" xfId="896"/>
    <cellStyle name="40% - 강조색1 5 2" xfId="897"/>
    <cellStyle name="40% - 강조색1 5 3" xfId="898"/>
    <cellStyle name="40% - 강조색1 5 4" xfId="899"/>
    <cellStyle name="40% - 강조색1 5 5" xfId="900"/>
    <cellStyle name="40% - 강조색1 5 6" xfId="901"/>
    <cellStyle name="40% - 강조색1 5 7" xfId="902"/>
    <cellStyle name="40% - 강조색1 5 8" xfId="903"/>
    <cellStyle name="40% - 강조색1 5 9" xfId="904"/>
    <cellStyle name="40% - 강조색1 6" xfId="905"/>
    <cellStyle name="40% - 강조색1 6 2" xfId="906"/>
    <cellStyle name="40% - 강조색1 6 3" xfId="907"/>
    <cellStyle name="40% - 강조색1 6 4" xfId="908"/>
    <cellStyle name="40% - 강조색1 7" xfId="909"/>
    <cellStyle name="40% - 강조색1 8" xfId="910"/>
    <cellStyle name="40% - 강조색1 9" xfId="911"/>
    <cellStyle name="40% - 강조색2 10" xfId="912"/>
    <cellStyle name="40% - 강조색2 10 2" xfId="913"/>
    <cellStyle name="40% - 강조색2 11" xfId="914"/>
    <cellStyle name="40% - 강조색2 11 2" xfId="915"/>
    <cellStyle name="40% - 강조색2 12" xfId="916"/>
    <cellStyle name="40% - 강조색2 12 2" xfId="917"/>
    <cellStyle name="40% - 강조색2 13" xfId="918"/>
    <cellStyle name="40% - 강조색2 13 2" xfId="919"/>
    <cellStyle name="40% - 강조색2 14" xfId="920"/>
    <cellStyle name="40% - 강조색2 14 2" xfId="921"/>
    <cellStyle name="40% - 강조색2 15" xfId="922"/>
    <cellStyle name="40% - 강조색2 15 2" xfId="923"/>
    <cellStyle name="40% - 강조색2 16" xfId="924"/>
    <cellStyle name="40% - 강조색2 16 2" xfId="925"/>
    <cellStyle name="40% - 강조색2 17" xfId="926"/>
    <cellStyle name="40% - 강조색2 17 2" xfId="927"/>
    <cellStyle name="40% - 강조색2 18" xfId="928"/>
    <cellStyle name="40% - 강조색2 19" xfId="929"/>
    <cellStyle name="40% - 강조색2 2" xfId="930"/>
    <cellStyle name="40% - 강조색2 2 10" xfId="931"/>
    <cellStyle name="40% - 강조색2 2 11" xfId="932"/>
    <cellStyle name="40% - 강조색2 2 12" xfId="933"/>
    <cellStyle name="40% - 강조색2 2 13" xfId="934"/>
    <cellStyle name="40% - 강조색2 2 14" xfId="935"/>
    <cellStyle name="40% - 강조색2 2 2" xfId="936"/>
    <cellStyle name="40% - 강조색2 2 3" xfId="937"/>
    <cellStyle name="40% - 강조색2 2 4" xfId="938"/>
    <cellStyle name="40% - 강조색2 2 5" xfId="939"/>
    <cellStyle name="40% - 강조색2 2 6" xfId="940"/>
    <cellStyle name="40% - 강조색2 2 7" xfId="941"/>
    <cellStyle name="40% - 강조색2 2 8" xfId="942"/>
    <cellStyle name="40% - 강조색2 2 9" xfId="943"/>
    <cellStyle name="40% - 강조색2 3" xfId="944"/>
    <cellStyle name="40% - 강조색2 3 10" xfId="945"/>
    <cellStyle name="40% - 강조색2 3 11" xfId="946"/>
    <cellStyle name="40% - 강조색2 3 12" xfId="947"/>
    <cellStyle name="40% - 강조색2 3 13" xfId="948"/>
    <cellStyle name="40% - 강조색2 3 2" xfId="949"/>
    <cellStyle name="40% - 강조색2 3 2 2" xfId="950"/>
    <cellStyle name="40% - 강조색2 3 2 3" xfId="951"/>
    <cellStyle name="40% - 강조색2 3 2 4" xfId="952"/>
    <cellStyle name="40% - 강조색2 3 3" xfId="953"/>
    <cellStyle name="40% - 강조색2 3 4" xfId="954"/>
    <cellStyle name="40% - 강조색2 3 5" xfId="955"/>
    <cellStyle name="40% - 강조색2 3 6" xfId="956"/>
    <cellStyle name="40% - 강조색2 3 7" xfId="957"/>
    <cellStyle name="40% - 강조색2 3 8" xfId="958"/>
    <cellStyle name="40% - 강조색2 3 9" xfId="959"/>
    <cellStyle name="40% - 강조색2 4" xfId="960"/>
    <cellStyle name="40% - 강조색2 4 2" xfId="961"/>
    <cellStyle name="40% - 강조색2 4 3" xfId="962"/>
    <cellStyle name="40% - 강조색2 4 4" xfId="963"/>
    <cellStyle name="40% - 강조색2 4 5" xfId="964"/>
    <cellStyle name="40% - 강조색2 4 6" xfId="965"/>
    <cellStyle name="40% - 강조색2 4 7" xfId="966"/>
    <cellStyle name="40% - 강조색2 4 8" xfId="967"/>
    <cellStyle name="40% - 강조색2 5" xfId="968"/>
    <cellStyle name="40% - 강조색2 5 10" xfId="969"/>
    <cellStyle name="40% - 강조색2 5 11" xfId="970"/>
    <cellStyle name="40% - 강조색2 5 12" xfId="971"/>
    <cellStyle name="40% - 강조색2 5 13" xfId="972"/>
    <cellStyle name="40% - 강조색2 5 14" xfId="973"/>
    <cellStyle name="40% - 강조색2 5 15" xfId="974"/>
    <cellStyle name="40% - 강조색2 5 16" xfId="975"/>
    <cellStyle name="40% - 강조색2 5 17" xfId="976"/>
    <cellStyle name="40% - 강조색2 5 2" xfId="977"/>
    <cellStyle name="40% - 강조색2 5 3" xfId="978"/>
    <cellStyle name="40% - 강조색2 5 4" xfId="979"/>
    <cellStyle name="40% - 강조색2 5 5" xfId="980"/>
    <cellStyle name="40% - 강조색2 5 6" xfId="981"/>
    <cellStyle name="40% - 강조색2 5 7" xfId="982"/>
    <cellStyle name="40% - 강조색2 5 8" xfId="983"/>
    <cellStyle name="40% - 강조색2 5 9" xfId="984"/>
    <cellStyle name="40% - 강조색2 6" xfId="985"/>
    <cellStyle name="40% - 강조색2 6 2" xfId="986"/>
    <cellStyle name="40% - 강조색2 6 3" xfId="987"/>
    <cellStyle name="40% - 강조색2 6 4" xfId="988"/>
    <cellStyle name="40% - 강조색2 7" xfId="989"/>
    <cellStyle name="40% - 강조색2 8" xfId="990"/>
    <cellStyle name="40% - 강조색2 9" xfId="991"/>
    <cellStyle name="40% - 강조색3 10" xfId="992"/>
    <cellStyle name="40% - 강조색3 10 2" xfId="993"/>
    <cellStyle name="40% - 강조색3 11" xfId="994"/>
    <cellStyle name="40% - 강조색3 11 2" xfId="995"/>
    <cellStyle name="40% - 강조색3 12" xfId="996"/>
    <cellStyle name="40% - 강조색3 12 2" xfId="997"/>
    <cellStyle name="40% - 강조색3 13" xfId="998"/>
    <cellStyle name="40% - 강조색3 13 2" xfId="999"/>
    <cellStyle name="40% - 강조색3 14" xfId="1000"/>
    <cellStyle name="40% - 강조색3 14 2" xfId="1001"/>
    <cellStyle name="40% - 강조색3 15" xfId="1002"/>
    <cellStyle name="40% - 강조색3 15 2" xfId="1003"/>
    <cellStyle name="40% - 강조색3 16" xfId="1004"/>
    <cellStyle name="40% - 강조색3 16 2" xfId="1005"/>
    <cellStyle name="40% - 강조색3 17" xfId="1006"/>
    <cellStyle name="40% - 강조색3 17 2" xfId="1007"/>
    <cellStyle name="40% - 강조색3 18" xfId="1008"/>
    <cellStyle name="40% - 강조색3 19" xfId="1009"/>
    <cellStyle name="40% - 강조색3 2" xfId="1010"/>
    <cellStyle name="40% - 강조색3 2 10" xfId="1011"/>
    <cellStyle name="40% - 강조색3 2 11" xfId="1012"/>
    <cellStyle name="40% - 강조색3 2 12" xfId="1013"/>
    <cellStyle name="40% - 강조색3 2 13" xfId="1014"/>
    <cellStyle name="40% - 강조색3 2 14" xfId="1015"/>
    <cellStyle name="40% - 강조색3 2 2" xfId="1016"/>
    <cellStyle name="40% - 강조색3 2 3" xfId="1017"/>
    <cellStyle name="40% - 강조색3 2 4" xfId="1018"/>
    <cellStyle name="40% - 강조색3 2 5" xfId="1019"/>
    <cellStyle name="40% - 강조색3 2 6" xfId="1020"/>
    <cellStyle name="40% - 강조색3 2 7" xfId="1021"/>
    <cellStyle name="40% - 강조색3 2 8" xfId="1022"/>
    <cellStyle name="40% - 강조색3 2 9" xfId="1023"/>
    <cellStyle name="40% - 강조색3 3" xfId="1024"/>
    <cellStyle name="40% - 강조색3 3 10" xfId="1025"/>
    <cellStyle name="40% - 강조색3 3 11" xfId="1026"/>
    <cellStyle name="40% - 강조색3 3 12" xfId="1027"/>
    <cellStyle name="40% - 강조색3 3 13" xfId="1028"/>
    <cellStyle name="40% - 강조색3 3 2" xfId="1029"/>
    <cellStyle name="40% - 강조색3 3 2 2" xfId="1030"/>
    <cellStyle name="40% - 강조색3 3 2 3" xfId="1031"/>
    <cellStyle name="40% - 강조색3 3 2 4" xfId="1032"/>
    <cellStyle name="40% - 강조색3 3 3" xfId="1033"/>
    <cellStyle name="40% - 강조색3 3 4" xfId="1034"/>
    <cellStyle name="40% - 강조색3 3 5" xfId="1035"/>
    <cellStyle name="40% - 강조색3 3 6" xfId="1036"/>
    <cellStyle name="40% - 강조색3 3 7" xfId="1037"/>
    <cellStyle name="40% - 강조색3 3 8" xfId="1038"/>
    <cellStyle name="40% - 강조색3 3 9" xfId="1039"/>
    <cellStyle name="40% - 강조색3 4" xfId="1040"/>
    <cellStyle name="40% - 강조색3 4 2" xfId="1041"/>
    <cellStyle name="40% - 강조색3 4 3" xfId="1042"/>
    <cellStyle name="40% - 강조색3 4 4" xfId="1043"/>
    <cellStyle name="40% - 강조색3 4 5" xfId="1044"/>
    <cellStyle name="40% - 강조색3 4 6" xfId="1045"/>
    <cellStyle name="40% - 강조색3 4 7" xfId="1046"/>
    <cellStyle name="40% - 강조색3 4 8" xfId="1047"/>
    <cellStyle name="40% - 강조색3 5" xfId="1048"/>
    <cellStyle name="40% - 강조색3 5 10" xfId="1049"/>
    <cellStyle name="40% - 강조색3 5 11" xfId="1050"/>
    <cellStyle name="40% - 강조색3 5 12" xfId="1051"/>
    <cellStyle name="40% - 강조색3 5 13" xfId="1052"/>
    <cellStyle name="40% - 강조색3 5 14" xfId="1053"/>
    <cellStyle name="40% - 강조색3 5 15" xfId="1054"/>
    <cellStyle name="40% - 강조색3 5 16" xfId="1055"/>
    <cellStyle name="40% - 강조색3 5 17" xfId="1056"/>
    <cellStyle name="40% - 강조색3 5 2" xfId="1057"/>
    <cellStyle name="40% - 강조색3 5 3" xfId="1058"/>
    <cellStyle name="40% - 강조색3 5 4" xfId="1059"/>
    <cellStyle name="40% - 강조색3 5 5" xfId="1060"/>
    <cellStyle name="40% - 강조색3 5 6" xfId="1061"/>
    <cellStyle name="40% - 강조색3 5 7" xfId="1062"/>
    <cellStyle name="40% - 강조색3 5 8" xfId="1063"/>
    <cellStyle name="40% - 강조색3 5 9" xfId="1064"/>
    <cellStyle name="40% - 강조색3 6" xfId="1065"/>
    <cellStyle name="40% - 강조색3 6 2" xfId="1066"/>
    <cellStyle name="40% - 강조색3 6 3" xfId="1067"/>
    <cellStyle name="40% - 강조색3 6 4" xfId="1068"/>
    <cellStyle name="40% - 강조색3 7" xfId="1069"/>
    <cellStyle name="40% - 강조색3 8" xfId="1070"/>
    <cellStyle name="40% - 강조색3 9" xfId="1071"/>
    <cellStyle name="40% - 강조색4 10" xfId="1072"/>
    <cellStyle name="40% - 강조색4 10 2" xfId="1073"/>
    <cellStyle name="40% - 강조색4 11" xfId="1074"/>
    <cellStyle name="40% - 강조색4 11 2" xfId="1075"/>
    <cellStyle name="40% - 강조색4 12" xfId="1076"/>
    <cellStyle name="40% - 강조색4 12 2" xfId="1077"/>
    <cellStyle name="40% - 강조색4 13" xfId="1078"/>
    <cellStyle name="40% - 강조색4 13 2" xfId="1079"/>
    <cellStyle name="40% - 강조색4 14" xfId="1080"/>
    <cellStyle name="40% - 강조색4 14 2" xfId="1081"/>
    <cellStyle name="40% - 강조색4 15" xfId="1082"/>
    <cellStyle name="40% - 강조색4 15 2" xfId="1083"/>
    <cellStyle name="40% - 강조색4 16" xfId="1084"/>
    <cellStyle name="40% - 강조색4 16 2" xfId="1085"/>
    <cellStyle name="40% - 강조색4 17" xfId="1086"/>
    <cellStyle name="40% - 강조색4 17 2" xfId="1087"/>
    <cellStyle name="40% - 강조색4 18" xfId="1088"/>
    <cellStyle name="40% - 강조색4 19" xfId="1089"/>
    <cellStyle name="40% - 강조색4 2" xfId="1090"/>
    <cellStyle name="40% - 강조색4 2 10" xfId="1091"/>
    <cellStyle name="40% - 강조색4 2 11" xfId="1092"/>
    <cellStyle name="40% - 강조색4 2 12" xfId="1093"/>
    <cellStyle name="40% - 강조색4 2 13" xfId="1094"/>
    <cellStyle name="40% - 강조색4 2 14" xfId="1095"/>
    <cellStyle name="40% - 강조색4 2 2" xfId="1096"/>
    <cellStyle name="40% - 강조색4 2 3" xfId="1097"/>
    <cellStyle name="40% - 강조색4 2 4" xfId="1098"/>
    <cellStyle name="40% - 강조색4 2 5" xfId="1099"/>
    <cellStyle name="40% - 강조색4 2 6" xfId="1100"/>
    <cellStyle name="40% - 강조색4 2 7" xfId="1101"/>
    <cellStyle name="40% - 강조색4 2 8" xfId="1102"/>
    <cellStyle name="40% - 강조색4 2 9" xfId="1103"/>
    <cellStyle name="40% - 강조색4 3" xfId="1104"/>
    <cellStyle name="40% - 강조색4 3 10" xfId="1105"/>
    <cellStyle name="40% - 강조색4 3 11" xfId="1106"/>
    <cellStyle name="40% - 강조색4 3 12" xfId="1107"/>
    <cellStyle name="40% - 강조색4 3 13" xfId="1108"/>
    <cellStyle name="40% - 강조색4 3 2" xfId="1109"/>
    <cellStyle name="40% - 강조색4 3 2 2" xfId="1110"/>
    <cellStyle name="40% - 강조색4 3 2 3" xfId="1111"/>
    <cellStyle name="40% - 강조색4 3 2 4" xfId="1112"/>
    <cellStyle name="40% - 강조색4 3 3" xfId="1113"/>
    <cellStyle name="40% - 강조색4 3 4" xfId="1114"/>
    <cellStyle name="40% - 강조색4 3 5" xfId="1115"/>
    <cellStyle name="40% - 강조색4 3 6" xfId="1116"/>
    <cellStyle name="40% - 강조색4 3 7" xfId="1117"/>
    <cellStyle name="40% - 강조색4 3 8" xfId="1118"/>
    <cellStyle name="40% - 강조색4 3 9" xfId="1119"/>
    <cellStyle name="40% - 강조색4 4" xfId="1120"/>
    <cellStyle name="40% - 강조색4 4 2" xfId="1121"/>
    <cellStyle name="40% - 강조색4 4 3" xfId="1122"/>
    <cellStyle name="40% - 강조색4 4 4" xfId="1123"/>
    <cellStyle name="40% - 강조색4 4 5" xfId="1124"/>
    <cellStyle name="40% - 강조색4 4 6" xfId="1125"/>
    <cellStyle name="40% - 강조색4 4 7" xfId="1126"/>
    <cellStyle name="40% - 강조색4 4 8" xfId="1127"/>
    <cellStyle name="40% - 강조색4 5" xfId="1128"/>
    <cellStyle name="40% - 강조색4 5 10" xfId="1129"/>
    <cellStyle name="40% - 강조색4 5 11" xfId="1130"/>
    <cellStyle name="40% - 강조색4 5 12" xfId="1131"/>
    <cellStyle name="40% - 강조색4 5 13" xfId="1132"/>
    <cellStyle name="40% - 강조색4 5 14" xfId="1133"/>
    <cellStyle name="40% - 강조색4 5 15" xfId="1134"/>
    <cellStyle name="40% - 강조색4 5 16" xfId="1135"/>
    <cellStyle name="40% - 강조색4 5 17" xfId="1136"/>
    <cellStyle name="40% - 강조색4 5 2" xfId="1137"/>
    <cellStyle name="40% - 강조색4 5 3" xfId="1138"/>
    <cellStyle name="40% - 강조색4 5 4" xfId="1139"/>
    <cellStyle name="40% - 강조색4 5 5" xfId="1140"/>
    <cellStyle name="40% - 강조색4 5 6" xfId="1141"/>
    <cellStyle name="40% - 강조색4 5 7" xfId="1142"/>
    <cellStyle name="40% - 강조색4 5 8" xfId="1143"/>
    <cellStyle name="40% - 강조색4 5 9" xfId="1144"/>
    <cellStyle name="40% - 강조색4 6" xfId="1145"/>
    <cellStyle name="40% - 강조색4 6 2" xfId="1146"/>
    <cellStyle name="40% - 강조색4 6 3" xfId="1147"/>
    <cellStyle name="40% - 강조색4 6 4" xfId="1148"/>
    <cellStyle name="40% - 강조색4 7" xfId="1149"/>
    <cellStyle name="40% - 강조색4 8" xfId="1150"/>
    <cellStyle name="40% - 강조색4 9" xfId="1151"/>
    <cellStyle name="40% - 강조색5 10" xfId="1152"/>
    <cellStyle name="40% - 강조색5 10 2" xfId="1153"/>
    <cellStyle name="40% - 강조색5 11" xfId="1154"/>
    <cellStyle name="40% - 강조색5 11 2" xfId="1155"/>
    <cellStyle name="40% - 강조색5 12" xfId="1156"/>
    <cellStyle name="40% - 강조색5 12 2" xfId="1157"/>
    <cellStyle name="40% - 강조색5 13" xfId="1158"/>
    <cellStyle name="40% - 강조색5 13 2" xfId="1159"/>
    <cellStyle name="40% - 강조색5 14" xfId="1160"/>
    <cellStyle name="40% - 강조색5 14 2" xfId="1161"/>
    <cellStyle name="40% - 강조색5 15" xfId="1162"/>
    <cellStyle name="40% - 강조색5 15 2" xfId="1163"/>
    <cellStyle name="40% - 강조색5 16" xfId="1164"/>
    <cellStyle name="40% - 강조색5 16 2" xfId="1165"/>
    <cellStyle name="40% - 강조색5 17" xfId="1166"/>
    <cellStyle name="40% - 강조색5 17 2" xfId="1167"/>
    <cellStyle name="40% - 강조색5 18" xfId="1168"/>
    <cellStyle name="40% - 강조색5 19" xfId="1169"/>
    <cellStyle name="40% - 강조색5 2" xfId="1170"/>
    <cellStyle name="40% - 강조색5 2 10" xfId="1171"/>
    <cellStyle name="40% - 강조색5 2 11" xfId="1172"/>
    <cellStyle name="40% - 강조색5 2 12" xfId="1173"/>
    <cellStyle name="40% - 강조색5 2 13" xfId="1174"/>
    <cellStyle name="40% - 강조색5 2 14" xfId="1175"/>
    <cellStyle name="40% - 강조색5 2 2" xfId="1176"/>
    <cellStyle name="40% - 강조색5 2 3" xfId="1177"/>
    <cellStyle name="40% - 강조색5 2 4" xfId="1178"/>
    <cellStyle name="40% - 강조색5 2 5" xfId="1179"/>
    <cellStyle name="40% - 강조색5 2 6" xfId="1180"/>
    <cellStyle name="40% - 강조색5 2 7" xfId="1181"/>
    <cellStyle name="40% - 강조색5 2 8" xfId="1182"/>
    <cellStyle name="40% - 강조색5 2 9" xfId="1183"/>
    <cellStyle name="40% - 강조색5 3" xfId="1184"/>
    <cellStyle name="40% - 강조색5 3 10" xfId="1185"/>
    <cellStyle name="40% - 강조색5 3 11" xfId="1186"/>
    <cellStyle name="40% - 강조색5 3 12" xfId="1187"/>
    <cellStyle name="40% - 강조색5 3 13" xfId="1188"/>
    <cellStyle name="40% - 강조색5 3 2" xfId="1189"/>
    <cellStyle name="40% - 강조색5 3 2 2" xfId="1190"/>
    <cellStyle name="40% - 강조색5 3 2 3" xfId="1191"/>
    <cellStyle name="40% - 강조색5 3 2 4" xfId="1192"/>
    <cellStyle name="40% - 강조색5 3 3" xfId="1193"/>
    <cellStyle name="40% - 강조색5 3 4" xfId="1194"/>
    <cellStyle name="40% - 강조색5 3 5" xfId="1195"/>
    <cellStyle name="40% - 강조색5 3 6" xfId="1196"/>
    <cellStyle name="40% - 강조색5 3 7" xfId="1197"/>
    <cellStyle name="40% - 강조색5 3 8" xfId="1198"/>
    <cellStyle name="40% - 강조색5 3 9" xfId="1199"/>
    <cellStyle name="40% - 강조색5 4" xfId="1200"/>
    <cellStyle name="40% - 강조색5 4 2" xfId="1201"/>
    <cellStyle name="40% - 강조색5 4 3" xfId="1202"/>
    <cellStyle name="40% - 강조색5 4 4" xfId="1203"/>
    <cellStyle name="40% - 강조색5 4 5" xfId="1204"/>
    <cellStyle name="40% - 강조색5 4 6" xfId="1205"/>
    <cellStyle name="40% - 강조색5 4 7" xfId="1206"/>
    <cellStyle name="40% - 강조색5 4 8" xfId="1207"/>
    <cellStyle name="40% - 강조색5 5" xfId="1208"/>
    <cellStyle name="40% - 강조색5 5 10" xfId="1209"/>
    <cellStyle name="40% - 강조색5 5 11" xfId="1210"/>
    <cellStyle name="40% - 강조색5 5 12" xfId="1211"/>
    <cellStyle name="40% - 강조색5 5 13" xfId="1212"/>
    <cellStyle name="40% - 강조색5 5 14" xfId="1213"/>
    <cellStyle name="40% - 강조색5 5 15" xfId="1214"/>
    <cellStyle name="40% - 강조색5 5 16" xfId="1215"/>
    <cellStyle name="40% - 강조색5 5 17" xfId="1216"/>
    <cellStyle name="40% - 강조색5 5 2" xfId="1217"/>
    <cellStyle name="40% - 강조색5 5 3" xfId="1218"/>
    <cellStyle name="40% - 강조색5 5 4" xfId="1219"/>
    <cellStyle name="40% - 강조색5 5 5" xfId="1220"/>
    <cellStyle name="40% - 강조색5 5 6" xfId="1221"/>
    <cellStyle name="40% - 강조색5 5 7" xfId="1222"/>
    <cellStyle name="40% - 강조색5 5 8" xfId="1223"/>
    <cellStyle name="40% - 강조색5 5 9" xfId="1224"/>
    <cellStyle name="40% - 강조색5 6" xfId="1225"/>
    <cellStyle name="40% - 강조색5 6 2" xfId="1226"/>
    <cellStyle name="40% - 강조색5 6 3" xfId="1227"/>
    <cellStyle name="40% - 강조색5 6 4" xfId="1228"/>
    <cellStyle name="40% - 강조색5 7" xfId="1229"/>
    <cellStyle name="40% - 강조색5 8" xfId="1230"/>
    <cellStyle name="40% - 강조색5 9" xfId="1231"/>
    <cellStyle name="40% - 강조색6 10" xfId="1232"/>
    <cellStyle name="40% - 강조색6 10 2" xfId="1233"/>
    <cellStyle name="40% - 강조색6 11" xfId="1234"/>
    <cellStyle name="40% - 강조색6 11 2" xfId="1235"/>
    <cellStyle name="40% - 강조색6 12" xfId="1236"/>
    <cellStyle name="40% - 강조색6 12 2" xfId="1237"/>
    <cellStyle name="40% - 강조색6 13" xfId="1238"/>
    <cellStyle name="40% - 강조색6 13 2" xfId="1239"/>
    <cellStyle name="40% - 강조색6 14" xfId="1240"/>
    <cellStyle name="40% - 강조색6 14 2" xfId="1241"/>
    <cellStyle name="40% - 강조색6 15" xfId="1242"/>
    <cellStyle name="40% - 강조색6 15 2" xfId="1243"/>
    <cellStyle name="40% - 강조색6 16" xfId="1244"/>
    <cellStyle name="40% - 강조색6 16 2" xfId="1245"/>
    <cellStyle name="40% - 강조색6 17" xfId="1246"/>
    <cellStyle name="40% - 강조색6 17 2" xfId="1247"/>
    <cellStyle name="40% - 강조색6 18" xfId="1248"/>
    <cellStyle name="40% - 강조색6 19" xfId="1249"/>
    <cellStyle name="40% - 강조색6 2" xfId="1250"/>
    <cellStyle name="40% - 강조색6 2 10" xfId="1251"/>
    <cellStyle name="40% - 강조색6 2 11" xfId="1252"/>
    <cellStyle name="40% - 강조색6 2 12" xfId="1253"/>
    <cellStyle name="40% - 강조색6 2 13" xfId="1254"/>
    <cellStyle name="40% - 강조색6 2 14" xfId="1255"/>
    <cellStyle name="40% - 강조색6 2 2" xfId="1256"/>
    <cellStyle name="40% - 강조색6 2 3" xfId="1257"/>
    <cellStyle name="40% - 강조색6 2 4" xfId="1258"/>
    <cellStyle name="40% - 강조색6 2 5" xfId="1259"/>
    <cellStyle name="40% - 강조색6 2 6" xfId="1260"/>
    <cellStyle name="40% - 강조색6 2 7" xfId="1261"/>
    <cellStyle name="40% - 강조색6 2 8" xfId="1262"/>
    <cellStyle name="40% - 강조색6 2 9" xfId="1263"/>
    <cellStyle name="40% - 강조색6 3" xfId="1264"/>
    <cellStyle name="40% - 강조색6 3 10" xfId="1265"/>
    <cellStyle name="40% - 강조색6 3 11" xfId="1266"/>
    <cellStyle name="40% - 강조색6 3 12" xfId="1267"/>
    <cellStyle name="40% - 강조색6 3 13" xfId="1268"/>
    <cellStyle name="40% - 강조색6 3 2" xfId="1269"/>
    <cellStyle name="40% - 강조색6 3 2 2" xfId="1270"/>
    <cellStyle name="40% - 강조색6 3 2 3" xfId="1271"/>
    <cellStyle name="40% - 강조색6 3 2 4" xfId="1272"/>
    <cellStyle name="40% - 강조색6 3 3" xfId="1273"/>
    <cellStyle name="40% - 강조색6 3 4" xfId="1274"/>
    <cellStyle name="40% - 강조색6 3 5" xfId="1275"/>
    <cellStyle name="40% - 강조색6 3 6" xfId="1276"/>
    <cellStyle name="40% - 강조색6 3 7" xfId="1277"/>
    <cellStyle name="40% - 강조색6 3 8" xfId="1278"/>
    <cellStyle name="40% - 강조색6 3 9" xfId="1279"/>
    <cellStyle name="40% - 강조색6 4" xfId="1280"/>
    <cellStyle name="40% - 강조색6 4 2" xfId="1281"/>
    <cellStyle name="40% - 강조색6 4 3" xfId="1282"/>
    <cellStyle name="40% - 강조색6 4 4" xfId="1283"/>
    <cellStyle name="40% - 강조색6 4 5" xfId="1284"/>
    <cellStyle name="40% - 강조색6 4 6" xfId="1285"/>
    <cellStyle name="40% - 강조색6 4 7" xfId="1286"/>
    <cellStyle name="40% - 강조색6 4 8" xfId="1287"/>
    <cellStyle name="40% - 강조색6 5" xfId="1288"/>
    <cellStyle name="40% - 강조색6 5 10" xfId="1289"/>
    <cellStyle name="40% - 강조색6 5 11" xfId="1290"/>
    <cellStyle name="40% - 강조색6 5 12" xfId="1291"/>
    <cellStyle name="40% - 강조색6 5 13" xfId="1292"/>
    <cellStyle name="40% - 강조색6 5 14" xfId="1293"/>
    <cellStyle name="40% - 강조색6 5 15" xfId="1294"/>
    <cellStyle name="40% - 강조색6 5 16" xfId="1295"/>
    <cellStyle name="40% - 강조색6 5 17" xfId="1296"/>
    <cellStyle name="40% - 강조색6 5 2" xfId="1297"/>
    <cellStyle name="40% - 강조색6 5 3" xfId="1298"/>
    <cellStyle name="40% - 강조색6 5 4" xfId="1299"/>
    <cellStyle name="40% - 강조색6 5 5" xfId="1300"/>
    <cellStyle name="40% - 강조색6 5 6" xfId="1301"/>
    <cellStyle name="40% - 강조색6 5 7" xfId="1302"/>
    <cellStyle name="40% - 강조색6 5 8" xfId="1303"/>
    <cellStyle name="40% - 강조색6 5 9" xfId="1304"/>
    <cellStyle name="40% - 강조색6 6" xfId="1305"/>
    <cellStyle name="40% - 강조색6 6 2" xfId="1306"/>
    <cellStyle name="40% - 강조색6 6 3" xfId="1307"/>
    <cellStyle name="40% - 강조색6 6 4" xfId="1308"/>
    <cellStyle name="40% - 강조색6 7" xfId="1309"/>
    <cellStyle name="40% - 강조색6 8" xfId="1310"/>
    <cellStyle name="40% - 강조색6 9" xfId="1311"/>
    <cellStyle name="60% - Accent1" xfId="1312"/>
    <cellStyle name="60% - Accent1 2" xfId="1313"/>
    <cellStyle name="60% - Accent1 3" xfId="1314"/>
    <cellStyle name="60% - Accent1 4" xfId="1315"/>
    <cellStyle name="60% - Accent1 5" xfId="1316"/>
    <cellStyle name="60% - Accent1 6" xfId="1317"/>
    <cellStyle name="60% - Accent2" xfId="1318"/>
    <cellStyle name="60% - Accent2 2" xfId="1319"/>
    <cellStyle name="60% - Accent2 3" xfId="1320"/>
    <cellStyle name="60% - Accent2 4" xfId="1321"/>
    <cellStyle name="60% - Accent2 5" xfId="1322"/>
    <cellStyle name="60% - Accent2 6" xfId="1323"/>
    <cellStyle name="60% - Accent3" xfId="1324"/>
    <cellStyle name="60% - Accent3 2" xfId="1325"/>
    <cellStyle name="60% - Accent3 3" xfId="1326"/>
    <cellStyle name="60% - Accent3 4" xfId="1327"/>
    <cellStyle name="60% - Accent3 5" xfId="1328"/>
    <cellStyle name="60% - Accent3 6" xfId="1329"/>
    <cellStyle name="60% - Accent4" xfId="1330"/>
    <cellStyle name="60% - Accent4 2" xfId="1331"/>
    <cellStyle name="60% - Accent4 3" xfId="1332"/>
    <cellStyle name="60% - Accent4 4" xfId="1333"/>
    <cellStyle name="60% - Accent4 5" xfId="1334"/>
    <cellStyle name="60% - Accent4 6" xfId="1335"/>
    <cellStyle name="60% - Accent5" xfId="1336"/>
    <cellStyle name="60% - Accent5 2" xfId="1337"/>
    <cellStyle name="60% - Accent5 3" xfId="1338"/>
    <cellStyle name="60% - Accent5 4" xfId="1339"/>
    <cellStyle name="60% - Accent5 5" xfId="1340"/>
    <cellStyle name="60% - Accent5 6" xfId="1341"/>
    <cellStyle name="60% - Accent6" xfId="1342"/>
    <cellStyle name="60% - Accent6 2" xfId="1343"/>
    <cellStyle name="60% - Accent6 3" xfId="1344"/>
    <cellStyle name="60% - Accent6 4" xfId="1345"/>
    <cellStyle name="60% - Accent6 5" xfId="1346"/>
    <cellStyle name="60% - Accent6 6" xfId="1347"/>
    <cellStyle name="60% - 강조색1 10" xfId="1348"/>
    <cellStyle name="60% - 강조색1 10 2" xfId="1349"/>
    <cellStyle name="60% - 강조색1 11" xfId="1350"/>
    <cellStyle name="60% - 강조색1 11 2" xfId="1351"/>
    <cellStyle name="60% - 강조색1 12" xfId="1352"/>
    <cellStyle name="60% - 강조색1 12 2" xfId="1353"/>
    <cellStyle name="60% - 강조색1 13" xfId="1354"/>
    <cellStyle name="60% - 강조색1 13 2" xfId="1355"/>
    <cellStyle name="60% - 강조색1 14" xfId="1356"/>
    <cellStyle name="60% - 강조색1 15" xfId="1357"/>
    <cellStyle name="60% - 강조색1 2" xfId="1358"/>
    <cellStyle name="60% - 강조색1 2 10" xfId="1359"/>
    <cellStyle name="60% - 강조색1 2 11" xfId="1360"/>
    <cellStyle name="60% - 강조색1 2 12" xfId="1361"/>
    <cellStyle name="60% - 강조색1 2 13" xfId="1362"/>
    <cellStyle name="60% - 강조색1 2 14" xfId="1363"/>
    <cellStyle name="60% - 강조색1 2 2" xfId="1364"/>
    <cellStyle name="60% - 강조색1 2 3" xfId="1365"/>
    <cellStyle name="60% - 강조색1 2 4" xfId="1366"/>
    <cellStyle name="60% - 강조색1 2 5" xfId="1367"/>
    <cellStyle name="60% - 강조색1 2 6" xfId="1368"/>
    <cellStyle name="60% - 강조색1 2 7" xfId="1369"/>
    <cellStyle name="60% - 강조색1 2 8" xfId="1370"/>
    <cellStyle name="60% - 강조색1 2 9" xfId="1371"/>
    <cellStyle name="60% - 강조색1 3" xfId="1372"/>
    <cellStyle name="60% - 강조색1 3 10" xfId="1373"/>
    <cellStyle name="60% - 강조색1 3 2" xfId="1374"/>
    <cellStyle name="60% - 강조색1 3 2 2" xfId="1375"/>
    <cellStyle name="60% - 강조색1 3 2 3" xfId="1376"/>
    <cellStyle name="60% - 강조색1 3 2 4" xfId="1377"/>
    <cellStyle name="60% - 강조색1 3 3" xfId="1378"/>
    <cellStyle name="60% - 강조색1 3 4" xfId="1379"/>
    <cellStyle name="60% - 강조색1 3 5" xfId="1380"/>
    <cellStyle name="60% - 강조색1 3 6" xfId="1381"/>
    <cellStyle name="60% - 강조색1 3 7" xfId="1382"/>
    <cellStyle name="60% - 강조색1 3 8" xfId="1383"/>
    <cellStyle name="60% - 강조색1 3 9" xfId="1384"/>
    <cellStyle name="60% - 강조색1 4" xfId="1385"/>
    <cellStyle name="60% - 강조색1 4 2" xfId="1386"/>
    <cellStyle name="60% - 강조색1 4 3" xfId="1387"/>
    <cellStyle name="60% - 강조색1 4 4" xfId="1388"/>
    <cellStyle name="60% - 강조색1 5" xfId="1389"/>
    <cellStyle name="60% - 강조색1 5 10" xfId="1390"/>
    <cellStyle name="60% - 강조색1 5 11" xfId="1391"/>
    <cellStyle name="60% - 강조색1 5 12" xfId="1392"/>
    <cellStyle name="60% - 강조색1 5 13" xfId="1393"/>
    <cellStyle name="60% - 강조색1 5 14" xfId="1394"/>
    <cellStyle name="60% - 강조색1 5 2" xfId="1395"/>
    <cellStyle name="60% - 강조색1 5 3" xfId="1396"/>
    <cellStyle name="60% - 강조색1 5 4" xfId="1397"/>
    <cellStyle name="60% - 강조색1 5 5" xfId="1398"/>
    <cellStyle name="60% - 강조색1 5 6" xfId="1399"/>
    <cellStyle name="60% - 강조색1 5 7" xfId="1400"/>
    <cellStyle name="60% - 강조색1 5 8" xfId="1401"/>
    <cellStyle name="60% - 강조색1 5 9" xfId="1402"/>
    <cellStyle name="60% - 강조색1 6" xfId="1403"/>
    <cellStyle name="60% - 강조색1 6 2" xfId="1404"/>
    <cellStyle name="60% - 강조색1 6 3" xfId="1405"/>
    <cellStyle name="60% - 강조색1 6 4" xfId="1406"/>
    <cellStyle name="60% - 강조색1 6 5" xfId="1407"/>
    <cellStyle name="60% - 강조색1 7" xfId="1408"/>
    <cellStyle name="60% - 강조색1 7 2" xfId="1409"/>
    <cellStyle name="60% - 강조색1 8" xfId="1410"/>
    <cellStyle name="60% - 강조색1 8 2" xfId="1411"/>
    <cellStyle name="60% - 강조색1 9" xfId="1412"/>
    <cellStyle name="60% - 강조색1 9 2" xfId="1413"/>
    <cellStyle name="60% - 강조색2 10" xfId="1414"/>
    <cellStyle name="60% - 강조색2 10 2" xfId="1415"/>
    <cellStyle name="60% - 강조색2 11" xfId="1416"/>
    <cellStyle name="60% - 강조색2 11 2" xfId="1417"/>
    <cellStyle name="60% - 강조색2 12" xfId="1418"/>
    <cellStyle name="60% - 강조색2 12 2" xfId="1419"/>
    <cellStyle name="60% - 강조색2 13" xfId="1420"/>
    <cellStyle name="60% - 강조색2 13 2" xfId="1421"/>
    <cellStyle name="60% - 강조색2 14" xfId="1422"/>
    <cellStyle name="60% - 강조색2 15" xfId="1423"/>
    <cellStyle name="60% - 강조색2 2" xfId="1424"/>
    <cellStyle name="60% - 강조색2 2 10" xfId="1425"/>
    <cellStyle name="60% - 강조색2 2 11" xfId="1426"/>
    <cellStyle name="60% - 강조색2 2 12" xfId="1427"/>
    <cellStyle name="60% - 강조색2 2 13" xfId="1428"/>
    <cellStyle name="60% - 강조색2 2 14" xfId="1429"/>
    <cellStyle name="60% - 강조색2 2 2" xfId="1430"/>
    <cellStyle name="60% - 강조색2 2 3" xfId="1431"/>
    <cellStyle name="60% - 강조색2 2 4" xfId="1432"/>
    <cellStyle name="60% - 강조색2 2 5" xfId="1433"/>
    <cellStyle name="60% - 강조색2 2 6" xfId="1434"/>
    <cellStyle name="60% - 강조색2 2 7" xfId="1435"/>
    <cellStyle name="60% - 강조색2 2 8" xfId="1436"/>
    <cellStyle name="60% - 강조색2 2 9" xfId="1437"/>
    <cellStyle name="60% - 강조색2 3" xfId="1438"/>
    <cellStyle name="60% - 강조색2 3 10" xfId="1439"/>
    <cellStyle name="60% - 강조색2 3 2" xfId="1440"/>
    <cellStyle name="60% - 강조색2 3 2 2" xfId="1441"/>
    <cellStyle name="60% - 강조색2 3 2 3" xfId="1442"/>
    <cellStyle name="60% - 강조색2 3 2 4" xfId="1443"/>
    <cellStyle name="60% - 강조색2 3 3" xfId="1444"/>
    <cellStyle name="60% - 강조색2 3 4" xfId="1445"/>
    <cellStyle name="60% - 강조색2 3 5" xfId="1446"/>
    <cellStyle name="60% - 강조색2 3 6" xfId="1447"/>
    <cellStyle name="60% - 강조색2 3 7" xfId="1448"/>
    <cellStyle name="60% - 강조색2 3 8" xfId="1449"/>
    <cellStyle name="60% - 강조색2 3 9" xfId="1450"/>
    <cellStyle name="60% - 강조색2 4" xfId="1451"/>
    <cellStyle name="60% - 강조색2 4 2" xfId="1452"/>
    <cellStyle name="60% - 강조색2 4 3" xfId="1453"/>
    <cellStyle name="60% - 강조색2 4 4" xfId="1454"/>
    <cellStyle name="60% - 강조색2 5" xfId="1455"/>
    <cellStyle name="60% - 강조색2 5 10" xfId="1456"/>
    <cellStyle name="60% - 강조색2 5 11" xfId="1457"/>
    <cellStyle name="60% - 강조색2 5 12" xfId="1458"/>
    <cellStyle name="60% - 강조색2 5 13" xfId="1459"/>
    <cellStyle name="60% - 강조색2 5 14" xfId="1460"/>
    <cellStyle name="60% - 강조색2 5 2" xfId="1461"/>
    <cellStyle name="60% - 강조색2 5 3" xfId="1462"/>
    <cellStyle name="60% - 강조색2 5 4" xfId="1463"/>
    <cellStyle name="60% - 강조색2 5 5" xfId="1464"/>
    <cellStyle name="60% - 강조색2 5 6" xfId="1465"/>
    <cellStyle name="60% - 강조색2 5 7" xfId="1466"/>
    <cellStyle name="60% - 강조색2 5 8" xfId="1467"/>
    <cellStyle name="60% - 강조색2 5 9" xfId="1468"/>
    <cellStyle name="60% - 강조색2 6" xfId="1469"/>
    <cellStyle name="60% - 강조색2 6 2" xfId="1470"/>
    <cellStyle name="60% - 강조색2 6 3" xfId="1471"/>
    <cellStyle name="60% - 강조색2 6 4" xfId="1472"/>
    <cellStyle name="60% - 강조색2 6 5" xfId="1473"/>
    <cellStyle name="60% - 강조색2 7" xfId="1474"/>
    <cellStyle name="60% - 강조색2 7 2" xfId="1475"/>
    <cellStyle name="60% - 강조색2 8" xfId="1476"/>
    <cellStyle name="60% - 강조색2 8 2" xfId="1477"/>
    <cellStyle name="60% - 강조색2 9" xfId="1478"/>
    <cellStyle name="60% - 강조색2 9 2" xfId="1479"/>
    <cellStyle name="60% - 강조색3 10" xfId="1480"/>
    <cellStyle name="60% - 강조색3 10 2" xfId="1481"/>
    <cellStyle name="60% - 강조색3 11" xfId="1482"/>
    <cellStyle name="60% - 강조색3 11 2" xfId="1483"/>
    <cellStyle name="60% - 강조색3 12" xfId="1484"/>
    <cellStyle name="60% - 강조색3 12 2" xfId="1485"/>
    <cellStyle name="60% - 강조색3 13" xfId="1486"/>
    <cellStyle name="60% - 강조색3 13 2" xfId="1487"/>
    <cellStyle name="60% - 강조색3 14" xfId="1488"/>
    <cellStyle name="60% - 강조색3 15" xfId="1489"/>
    <cellStyle name="60% - 강조색3 2" xfId="1490"/>
    <cellStyle name="60% - 강조색3 2 10" xfId="1491"/>
    <cellStyle name="60% - 강조색3 2 11" xfId="1492"/>
    <cellStyle name="60% - 강조색3 2 12" xfId="1493"/>
    <cellStyle name="60% - 강조색3 2 13" xfId="1494"/>
    <cellStyle name="60% - 강조색3 2 14" xfId="1495"/>
    <cellStyle name="60% - 강조색3 2 2" xfId="1496"/>
    <cellStyle name="60% - 강조색3 2 3" xfId="1497"/>
    <cellStyle name="60% - 강조색3 2 4" xfId="1498"/>
    <cellStyle name="60% - 강조색3 2 5" xfId="1499"/>
    <cellStyle name="60% - 강조색3 2 6" xfId="1500"/>
    <cellStyle name="60% - 강조색3 2 7" xfId="1501"/>
    <cellStyle name="60% - 강조색3 2 8" xfId="1502"/>
    <cellStyle name="60% - 강조색3 2 9" xfId="1503"/>
    <cellStyle name="60% - 강조색3 3" xfId="1504"/>
    <cellStyle name="60% - 강조색3 3 10" xfId="1505"/>
    <cellStyle name="60% - 강조색3 3 2" xfId="1506"/>
    <cellStyle name="60% - 강조색3 3 2 2" xfId="1507"/>
    <cellStyle name="60% - 강조색3 3 2 3" xfId="1508"/>
    <cellStyle name="60% - 강조색3 3 2 4" xfId="1509"/>
    <cellStyle name="60% - 강조색3 3 3" xfId="1510"/>
    <cellStyle name="60% - 강조색3 3 4" xfId="1511"/>
    <cellStyle name="60% - 강조색3 3 5" xfId="1512"/>
    <cellStyle name="60% - 강조색3 3 6" xfId="1513"/>
    <cellStyle name="60% - 강조색3 3 7" xfId="1514"/>
    <cellStyle name="60% - 강조색3 3 8" xfId="1515"/>
    <cellStyle name="60% - 강조색3 3 9" xfId="1516"/>
    <cellStyle name="60% - 강조색3 4" xfId="1517"/>
    <cellStyle name="60% - 강조색3 4 2" xfId="1518"/>
    <cellStyle name="60% - 강조색3 4 3" xfId="1519"/>
    <cellStyle name="60% - 강조색3 4 4" xfId="1520"/>
    <cellStyle name="60% - 강조색3 5" xfId="1521"/>
    <cellStyle name="60% - 강조색3 5 10" xfId="1522"/>
    <cellStyle name="60% - 강조색3 5 11" xfId="1523"/>
    <cellStyle name="60% - 강조색3 5 12" xfId="1524"/>
    <cellStyle name="60% - 강조색3 5 13" xfId="1525"/>
    <cellStyle name="60% - 강조색3 5 14" xfId="1526"/>
    <cellStyle name="60% - 강조색3 5 2" xfId="1527"/>
    <cellStyle name="60% - 강조색3 5 3" xfId="1528"/>
    <cellStyle name="60% - 강조색3 5 4" xfId="1529"/>
    <cellStyle name="60% - 강조색3 5 5" xfId="1530"/>
    <cellStyle name="60% - 강조색3 5 6" xfId="1531"/>
    <cellStyle name="60% - 강조색3 5 7" xfId="1532"/>
    <cellStyle name="60% - 강조색3 5 8" xfId="1533"/>
    <cellStyle name="60% - 강조색3 5 9" xfId="1534"/>
    <cellStyle name="60% - 강조색3 6" xfId="1535"/>
    <cellStyle name="60% - 강조색3 6 2" xfId="1536"/>
    <cellStyle name="60% - 강조색3 6 3" xfId="1537"/>
    <cellStyle name="60% - 강조색3 6 4" xfId="1538"/>
    <cellStyle name="60% - 강조색3 6 5" xfId="1539"/>
    <cellStyle name="60% - 강조색3 7" xfId="1540"/>
    <cellStyle name="60% - 강조색3 7 2" xfId="1541"/>
    <cellStyle name="60% - 강조색3 8" xfId="1542"/>
    <cellStyle name="60% - 강조색3 8 2" xfId="1543"/>
    <cellStyle name="60% - 강조색3 9" xfId="1544"/>
    <cellStyle name="60% - 강조색3 9 2" xfId="1545"/>
    <cellStyle name="60% - 강조색4 10" xfId="1546"/>
    <cellStyle name="60% - 강조색4 10 2" xfId="1547"/>
    <cellStyle name="60% - 강조색4 11" xfId="1548"/>
    <cellStyle name="60% - 강조색4 11 2" xfId="1549"/>
    <cellStyle name="60% - 강조색4 12" xfId="1550"/>
    <cellStyle name="60% - 강조색4 12 2" xfId="1551"/>
    <cellStyle name="60% - 강조색4 13" xfId="1552"/>
    <cellStyle name="60% - 강조색4 13 2" xfId="1553"/>
    <cellStyle name="60% - 강조색4 14" xfId="1554"/>
    <cellStyle name="60% - 강조색4 15" xfId="1555"/>
    <cellStyle name="60% - 강조색4 2" xfId="1556"/>
    <cellStyle name="60% - 강조색4 2 10" xfId="1557"/>
    <cellStyle name="60% - 강조색4 2 11" xfId="1558"/>
    <cellStyle name="60% - 강조색4 2 12" xfId="1559"/>
    <cellStyle name="60% - 강조색4 2 13" xfId="1560"/>
    <cellStyle name="60% - 강조색4 2 14" xfId="1561"/>
    <cellStyle name="60% - 강조색4 2 2" xfId="1562"/>
    <cellStyle name="60% - 강조색4 2 3" xfId="1563"/>
    <cellStyle name="60% - 강조색4 2 4" xfId="1564"/>
    <cellStyle name="60% - 강조색4 2 5" xfId="1565"/>
    <cellStyle name="60% - 강조색4 2 6" xfId="1566"/>
    <cellStyle name="60% - 강조색4 2 7" xfId="1567"/>
    <cellStyle name="60% - 강조색4 2 8" xfId="1568"/>
    <cellStyle name="60% - 강조색4 2 9" xfId="1569"/>
    <cellStyle name="60% - 강조색4 3" xfId="1570"/>
    <cellStyle name="60% - 강조색4 3 10" xfId="1571"/>
    <cellStyle name="60% - 강조색4 3 2" xfId="1572"/>
    <cellStyle name="60% - 강조색4 3 2 2" xfId="1573"/>
    <cellStyle name="60% - 강조색4 3 2 3" xfId="1574"/>
    <cellStyle name="60% - 강조색4 3 2 4" xfId="1575"/>
    <cellStyle name="60% - 강조색4 3 3" xfId="1576"/>
    <cellStyle name="60% - 강조색4 3 4" xfId="1577"/>
    <cellStyle name="60% - 강조색4 3 5" xfId="1578"/>
    <cellStyle name="60% - 강조색4 3 6" xfId="1579"/>
    <cellStyle name="60% - 강조색4 3 7" xfId="1580"/>
    <cellStyle name="60% - 강조색4 3 8" xfId="1581"/>
    <cellStyle name="60% - 강조색4 3 9" xfId="1582"/>
    <cellStyle name="60% - 강조색4 4" xfId="1583"/>
    <cellStyle name="60% - 강조색4 4 2" xfId="1584"/>
    <cellStyle name="60% - 강조색4 4 3" xfId="1585"/>
    <cellStyle name="60% - 강조색4 4 4" xfId="1586"/>
    <cellStyle name="60% - 강조색4 5" xfId="1587"/>
    <cellStyle name="60% - 강조색4 5 10" xfId="1588"/>
    <cellStyle name="60% - 강조색4 5 11" xfId="1589"/>
    <cellStyle name="60% - 강조색4 5 12" xfId="1590"/>
    <cellStyle name="60% - 강조색4 5 13" xfId="1591"/>
    <cellStyle name="60% - 강조색4 5 14" xfId="1592"/>
    <cellStyle name="60% - 강조색4 5 2" xfId="1593"/>
    <cellStyle name="60% - 강조색4 5 3" xfId="1594"/>
    <cellStyle name="60% - 강조색4 5 4" xfId="1595"/>
    <cellStyle name="60% - 강조색4 5 5" xfId="1596"/>
    <cellStyle name="60% - 강조색4 5 6" xfId="1597"/>
    <cellStyle name="60% - 강조색4 5 7" xfId="1598"/>
    <cellStyle name="60% - 강조색4 5 8" xfId="1599"/>
    <cellStyle name="60% - 강조색4 5 9" xfId="1600"/>
    <cellStyle name="60% - 강조색4 6" xfId="1601"/>
    <cellStyle name="60% - 강조색4 6 2" xfId="1602"/>
    <cellStyle name="60% - 강조색4 6 3" xfId="1603"/>
    <cellStyle name="60% - 강조색4 6 4" xfId="1604"/>
    <cellStyle name="60% - 강조색4 6 5" xfId="1605"/>
    <cellStyle name="60% - 강조색4 7" xfId="1606"/>
    <cellStyle name="60% - 강조색4 7 2" xfId="1607"/>
    <cellStyle name="60% - 강조색4 8" xfId="1608"/>
    <cellStyle name="60% - 강조색4 8 2" xfId="1609"/>
    <cellStyle name="60% - 강조색4 9" xfId="1610"/>
    <cellStyle name="60% - 강조색4 9 2" xfId="1611"/>
    <cellStyle name="60% - 강조색5 10" xfId="1612"/>
    <cellStyle name="60% - 강조색5 10 2" xfId="1613"/>
    <cellStyle name="60% - 강조색5 11" xfId="1614"/>
    <cellStyle name="60% - 강조색5 11 2" xfId="1615"/>
    <cellStyle name="60% - 강조색5 12" xfId="1616"/>
    <cellStyle name="60% - 강조색5 12 2" xfId="1617"/>
    <cellStyle name="60% - 강조색5 13" xfId="1618"/>
    <cellStyle name="60% - 강조색5 13 2" xfId="1619"/>
    <cellStyle name="60% - 강조색5 14" xfId="1620"/>
    <cellStyle name="60% - 강조색5 15" xfId="1621"/>
    <cellStyle name="60% - 강조색5 2" xfId="1622"/>
    <cellStyle name="60% - 강조색5 2 10" xfId="1623"/>
    <cellStyle name="60% - 강조색5 2 11" xfId="1624"/>
    <cellStyle name="60% - 강조색5 2 12" xfId="1625"/>
    <cellStyle name="60% - 강조색5 2 13" xfId="1626"/>
    <cellStyle name="60% - 강조색5 2 14" xfId="1627"/>
    <cellStyle name="60% - 강조색5 2 2" xfId="1628"/>
    <cellStyle name="60% - 강조색5 2 3" xfId="1629"/>
    <cellStyle name="60% - 강조색5 2 4" xfId="1630"/>
    <cellStyle name="60% - 강조색5 2 5" xfId="1631"/>
    <cellStyle name="60% - 강조색5 2 6" xfId="1632"/>
    <cellStyle name="60% - 강조색5 2 7" xfId="1633"/>
    <cellStyle name="60% - 강조색5 2 8" xfId="1634"/>
    <cellStyle name="60% - 강조색5 2 9" xfId="1635"/>
    <cellStyle name="60% - 강조색5 3" xfId="1636"/>
    <cellStyle name="60% - 강조색5 3 10" xfId="1637"/>
    <cellStyle name="60% - 강조색5 3 2" xfId="1638"/>
    <cellStyle name="60% - 강조색5 3 2 2" xfId="1639"/>
    <cellStyle name="60% - 강조색5 3 2 3" xfId="1640"/>
    <cellStyle name="60% - 강조색5 3 2 4" xfId="1641"/>
    <cellStyle name="60% - 강조색5 3 3" xfId="1642"/>
    <cellStyle name="60% - 강조색5 3 4" xfId="1643"/>
    <cellStyle name="60% - 강조색5 3 5" xfId="1644"/>
    <cellStyle name="60% - 강조색5 3 6" xfId="1645"/>
    <cellStyle name="60% - 강조색5 3 7" xfId="1646"/>
    <cellStyle name="60% - 강조색5 3 8" xfId="1647"/>
    <cellStyle name="60% - 강조색5 3 9" xfId="1648"/>
    <cellStyle name="60% - 강조색5 4" xfId="1649"/>
    <cellStyle name="60% - 강조색5 4 2" xfId="1650"/>
    <cellStyle name="60% - 강조색5 4 3" xfId="1651"/>
    <cellStyle name="60% - 강조색5 4 4" xfId="1652"/>
    <cellStyle name="60% - 강조색5 5" xfId="1653"/>
    <cellStyle name="60% - 강조색5 5 10" xfId="1654"/>
    <cellStyle name="60% - 강조색5 5 11" xfId="1655"/>
    <cellStyle name="60% - 강조색5 5 12" xfId="1656"/>
    <cellStyle name="60% - 강조색5 5 13" xfId="1657"/>
    <cellStyle name="60% - 강조색5 5 14" xfId="1658"/>
    <cellStyle name="60% - 강조색5 5 2" xfId="1659"/>
    <cellStyle name="60% - 강조색5 5 3" xfId="1660"/>
    <cellStyle name="60% - 강조색5 5 4" xfId="1661"/>
    <cellStyle name="60% - 강조색5 5 5" xfId="1662"/>
    <cellStyle name="60% - 강조색5 5 6" xfId="1663"/>
    <cellStyle name="60% - 강조색5 5 7" xfId="1664"/>
    <cellStyle name="60% - 강조색5 5 8" xfId="1665"/>
    <cellStyle name="60% - 강조색5 5 9" xfId="1666"/>
    <cellStyle name="60% - 강조색5 6" xfId="1667"/>
    <cellStyle name="60% - 강조색5 6 2" xfId="1668"/>
    <cellStyle name="60% - 강조색5 6 3" xfId="1669"/>
    <cellStyle name="60% - 강조색5 6 4" xfId="1670"/>
    <cellStyle name="60% - 강조색5 6 5" xfId="1671"/>
    <cellStyle name="60% - 강조색5 7" xfId="1672"/>
    <cellStyle name="60% - 강조색5 7 2" xfId="1673"/>
    <cellStyle name="60% - 강조색5 8" xfId="1674"/>
    <cellStyle name="60% - 강조색5 8 2" xfId="1675"/>
    <cellStyle name="60% - 강조색5 9" xfId="1676"/>
    <cellStyle name="60% - 강조색5 9 2" xfId="1677"/>
    <cellStyle name="60% - 강조색6 10" xfId="1678"/>
    <cellStyle name="60% - 강조색6 10 2" xfId="1679"/>
    <cellStyle name="60% - 강조색6 11" xfId="1680"/>
    <cellStyle name="60% - 강조색6 11 2" xfId="1681"/>
    <cellStyle name="60% - 강조색6 12" xfId="1682"/>
    <cellStyle name="60% - 강조색6 12 2" xfId="1683"/>
    <cellStyle name="60% - 강조색6 13" xfId="1684"/>
    <cellStyle name="60% - 강조색6 13 2" xfId="1685"/>
    <cellStyle name="60% - 강조색6 14" xfId="1686"/>
    <cellStyle name="60% - 강조색6 15" xfId="1687"/>
    <cellStyle name="60% - 강조색6 2" xfId="1688"/>
    <cellStyle name="60% - 강조색6 2 10" xfId="1689"/>
    <cellStyle name="60% - 강조색6 2 11" xfId="1690"/>
    <cellStyle name="60% - 강조색6 2 12" xfId="1691"/>
    <cellStyle name="60% - 강조색6 2 13" xfId="1692"/>
    <cellStyle name="60% - 강조색6 2 14" xfId="1693"/>
    <cellStyle name="60% - 강조색6 2 2" xfId="1694"/>
    <cellStyle name="60% - 강조색6 2 3" xfId="1695"/>
    <cellStyle name="60% - 강조색6 2 4" xfId="1696"/>
    <cellStyle name="60% - 강조색6 2 5" xfId="1697"/>
    <cellStyle name="60% - 강조색6 2 6" xfId="1698"/>
    <cellStyle name="60% - 강조색6 2 7" xfId="1699"/>
    <cellStyle name="60% - 강조색6 2 8" xfId="1700"/>
    <cellStyle name="60% - 강조색6 2 9" xfId="1701"/>
    <cellStyle name="60% - 강조색6 3" xfId="1702"/>
    <cellStyle name="60% - 강조색6 3 10" xfId="1703"/>
    <cellStyle name="60% - 강조색6 3 2" xfId="1704"/>
    <cellStyle name="60% - 강조색6 3 2 2" xfId="1705"/>
    <cellStyle name="60% - 강조색6 3 2 3" xfId="1706"/>
    <cellStyle name="60% - 강조색6 3 2 4" xfId="1707"/>
    <cellStyle name="60% - 강조색6 3 3" xfId="1708"/>
    <cellStyle name="60% - 강조색6 3 4" xfId="1709"/>
    <cellStyle name="60% - 강조색6 3 5" xfId="1710"/>
    <cellStyle name="60% - 강조색6 3 6" xfId="1711"/>
    <cellStyle name="60% - 강조색6 3 7" xfId="1712"/>
    <cellStyle name="60% - 강조색6 3 8" xfId="1713"/>
    <cellStyle name="60% - 강조색6 3 9" xfId="1714"/>
    <cellStyle name="60% - 강조색6 4" xfId="1715"/>
    <cellStyle name="60% - 강조색6 4 2" xfId="1716"/>
    <cellStyle name="60% - 강조색6 4 3" xfId="1717"/>
    <cellStyle name="60% - 강조색6 4 4" xfId="1718"/>
    <cellStyle name="60% - 강조색6 5" xfId="1719"/>
    <cellStyle name="60% - 강조색6 5 10" xfId="1720"/>
    <cellStyle name="60% - 강조색6 5 11" xfId="1721"/>
    <cellStyle name="60% - 강조색6 5 12" xfId="1722"/>
    <cellStyle name="60% - 강조색6 5 13" xfId="1723"/>
    <cellStyle name="60% - 강조색6 5 14" xfId="1724"/>
    <cellStyle name="60% - 강조색6 5 2" xfId="1725"/>
    <cellStyle name="60% - 강조색6 5 3" xfId="1726"/>
    <cellStyle name="60% - 강조색6 5 4" xfId="1727"/>
    <cellStyle name="60% - 강조색6 5 5" xfId="1728"/>
    <cellStyle name="60% - 강조색6 5 6" xfId="1729"/>
    <cellStyle name="60% - 강조색6 5 7" xfId="1730"/>
    <cellStyle name="60% - 강조색6 5 8" xfId="1731"/>
    <cellStyle name="60% - 강조색6 5 9" xfId="1732"/>
    <cellStyle name="60% - 강조색6 6" xfId="1733"/>
    <cellStyle name="60% - 강조색6 6 2" xfId="1734"/>
    <cellStyle name="60% - 강조색6 6 3" xfId="1735"/>
    <cellStyle name="60% - 강조색6 6 4" xfId="1736"/>
    <cellStyle name="60% - 강조색6 6 5" xfId="1737"/>
    <cellStyle name="60% - 강조색6 7" xfId="1738"/>
    <cellStyle name="60% - 강조색6 7 2" xfId="1739"/>
    <cellStyle name="60% - 강조색6 8" xfId="1740"/>
    <cellStyle name="60% - 강조색6 8 2" xfId="1741"/>
    <cellStyle name="60% - 강조색6 9" xfId="1742"/>
    <cellStyle name="60% - 강조색6 9 2" xfId="1743"/>
    <cellStyle name="Accent1" xfId="1744"/>
    <cellStyle name="Accent1 2" xfId="1745"/>
    <cellStyle name="Accent1 3" xfId="1746"/>
    <cellStyle name="Accent1 4" xfId="1747"/>
    <cellStyle name="Accent1 5" xfId="1748"/>
    <cellStyle name="Accent1 6" xfId="1749"/>
    <cellStyle name="Accent2" xfId="1750"/>
    <cellStyle name="Accent2 2" xfId="1751"/>
    <cellStyle name="Accent2 3" xfId="1752"/>
    <cellStyle name="Accent2 4" xfId="1753"/>
    <cellStyle name="Accent2 5" xfId="1754"/>
    <cellStyle name="Accent2 6" xfId="1755"/>
    <cellStyle name="Accent3" xfId="1756"/>
    <cellStyle name="Accent3 2" xfId="1757"/>
    <cellStyle name="Accent3 3" xfId="1758"/>
    <cellStyle name="Accent3 4" xfId="1759"/>
    <cellStyle name="Accent3 5" xfId="1760"/>
    <cellStyle name="Accent3 6" xfId="1761"/>
    <cellStyle name="Accent4" xfId="1762"/>
    <cellStyle name="Accent4 2" xfId="1763"/>
    <cellStyle name="Accent4 3" xfId="1764"/>
    <cellStyle name="Accent4 4" xfId="1765"/>
    <cellStyle name="Accent4 5" xfId="1766"/>
    <cellStyle name="Accent4 6" xfId="1767"/>
    <cellStyle name="Accent5" xfId="1768"/>
    <cellStyle name="Accent5 2" xfId="1769"/>
    <cellStyle name="Accent5 3" xfId="1770"/>
    <cellStyle name="Accent5 4" xfId="1771"/>
    <cellStyle name="Accent5 5" xfId="1772"/>
    <cellStyle name="Accent5 6" xfId="1773"/>
    <cellStyle name="Accent6" xfId="1774"/>
    <cellStyle name="Accent6 2" xfId="1775"/>
    <cellStyle name="Accent6 3" xfId="1776"/>
    <cellStyle name="Accent6 4" xfId="1777"/>
    <cellStyle name="Accent6 5" xfId="1778"/>
    <cellStyle name="Accent6 6" xfId="1779"/>
    <cellStyle name="Bad" xfId="1780"/>
    <cellStyle name="Bad 2" xfId="1781"/>
    <cellStyle name="Bad 3" xfId="1782"/>
    <cellStyle name="Bad 4" xfId="1783"/>
    <cellStyle name="Bad 5" xfId="1784"/>
    <cellStyle name="Bad 6" xfId="1785"/>
    <cellStyle name="Calculation" xfId="1786"/>
    <cellStyle name="Calculation 2" xfId="13"/>
    <cellStyle name="Calculation 2 2" xfId="1788"/>
    <cellStyle name="Calculation 2 3" xfId="1789"/>
    <cellStyle name="Calculation 2 4" xfId="1790"/>
    <cellStyle name="Calculation 2 5" xfId="1791"/>
    <cellStyle name="Calculation 2 6" xfId="1792"/>
    <cellStyle name="Calculation 2 7" xfId="1787"/>
    <cellStyle name="Calculation 3" xfId="1793"/>
    <cellStyle name="Calculation 4" xfId="1794"/>
    <cellStyle name="Calculation 5" xfId="1795"/>
    <cellStyle name="Calculation 6" xfId="1796"/>
    <cellStyle name="Calculation 7" xfId="1797"/>
    <cellStyle name="Check Cell" xfId="1798"/>
    <cellStyle name="Check Cell 2" xfId="1799"/>
    <cellStyle name="Check Cell 3" xfId="1800"/>
    <cellStyle name="Check Cell 4" xfId="1801"/>
    <cellStyle name="Check Cell 5" xfId="1802"/>
    <cellStyle name="Check Cell 6" xfId="1803"/>
    <cellStyle name="Explanatory Text" xfId="1804"/>
    <cellStyle name="Explanatory Text 2" xfId="1805"/>
    <cellStyle name="Explanatory Text 3" xfId="1806"/>
    <cellStyle name="Explanatory Text 4" xfId="1807"/>
    <cellStyle name="Explanatory Text 5" xfId="1808"/>
    <cellStyle name="Explanatory Text 6" xfId="1809"/>
    <cellStyle name="Good" xfId="1810"/>
    <cellStyle name="Good 2" xfId="1811"/>
    <cellStyle name="Good 3" xfId="1812"/>
    <cellStyle name="Good 4" xfId="1813"/>
    <cellStyle name="Good 5" xfId="1814"/>
    <cellStyle name="Good 6" xfId="1815"/>
    <cellStyle name="Heading 1" xfId="1816"/>
    <cellStyle name="Heading 1 2" xfId="1817"/>
    <cellStyle name="Heading 1 3" xfId="1818"/>
    <cellStyle name="Heading 1 4" xfId="1819"/>
    <cellStyle name="Heading 1 5" xfId="1820"/>
    <cellStyle name="Heading 1 6" xfId="1821"/>
    <cellStyle name="Heading 2" xfId="1822"/>
    <cellStyle name="Heading 2 2" xfId="1823"/>
    <cellStyle name="Heading 2 3" xfId="1824"/>
    <cellStyle name="Heading 2 4" xfId="1825"/>
    <cellStyle name="Heading 2 5" xfId="1826"/>
    <cellStyle name="Heading 2 6" xfId="1827"/>
    <cellStyle name="Heading 3" xfId="1828"/>
    <cellStyle name="Heading 3 2" xfId="1829"/>
    <cellStyle name="Heading 3 3" xfId="1830"/>
    <cellStyle name="Heading 3 4" xfId="1831"/>
    <cellStyle name="Heading 3 5" xfId="1832"/>
    <cellStyle name="Heading 3 6" xfId="1833"/>
    <cellStyle name="Heading 4" xfId="1834"/>
    <cellStyle name="Heading 4 2" xfId="1835"/>
    <cellStyle name="Heading 4 3" xfId="1836"/>
    <cellStyle name="Heading 4 4" xfId="1837"/>
    <cellStyle name="Heading 4 5" xfId="1838"/>
    <cellStyle name="Heading 4 6" xfId="1839"/>
    <cellStyle name="Input" xfId="1840"/>
    <cellStyle name="Input 2" xfId="1841"/>
    <cellStyle name="Input 3" xfId="1842"/>
    <cellStyle name="Input 4" xfId="1843"/>
    <cellStyle name="Input 5" xfId="1844"/>
    <cellStyle name="Input 6" xfId="1845"/>
    <cellStyle name="Linked Cell" xfId="1846"/>
    <cellStyle name="Linked Cell 2" xfId="1847"/>
    <cellStyle name="Linked Cell 3" xfId="1848"/>
    <cellStyle name="Linked Cell 4" xfId="1849"/>
    <cellStyle name="Linked Cell 5" xfId="1850"/>
    <cellStyle name="Linked Cell 6" xfId="1851"/>
    <cellStyle name="Neutral" xfId="1852"/>
    <cellStyle name="Neutral 2" xfId="1853"/>
    <cellStyle name="Neutral 3" xfId="1854"/>
    <cellStyle name="Neutral 4" xfId="1855"/>
    <cellStyle name="Neutral 5" xfId="1856"/>
    <cellStyle name="Neutral 6" xfId="1857"/>
    <cellStyle name="Normal 2" xfId="1"/>
    <cellStyle name="Normal 2 2" xfId="14"/>
    <cellStyle name="Normal 2 3" xfId="15"/>
    <cellStyle name="Normal 2 4" xfId="1858"/>
    <cellStyle name="Normal 3" xfId="1859"/>
    <cellStyle name="Normal 3 2" xfId="1860"/>
    <cellStyle name="Normal 4" xfId="1861"/>
    <cellStyle name="Normal 5" xfId="1862"/>
    <cellStyle name="Normal_5B2_CDS_Timing_06nov08" xfId="1863"/>
    <cellStyle name="Note" xfId="1864"/>
    <cellStyle name="Note 2" xfId="16"/>
    <cellStyle name="Note 2 2" xfId="170"/>
    <cellStyle name="Note 2 2 2" xfId="175"/>
    <cellStyle name="Note 2 2 2 2" xfId="180"/>
    <cellStyle name="Note 2 2 2 2 2" xfId="195"/>
    <cellStyle name="Note 2 2 2 2 2 2" xfId="213"/>
    <cellStyle name="Note 2 2 2 2 3" xfId="214"/>
    <cellStyle name="Note 2 2 2 3" xfId="186"/>
    <cellStyle name="Note 2 2 2 3 2" xfId="196"/>
    <cellStyle name="Note 2 2 2 3 2 2" xfId="215"/>
    <cellStyle name="Note 2 2 2 3 3" xfId="216"/>
    <cellStyle name="Note 2 2 2 4" xfId="193"/>
    <cellStyle name="Note 2 2 2 4 2" xfId="217"/>
    <cellStyle name="Note 2 2 2 4 3" xfId="218"/>
    <cellStyle name="Note 2 2 2 5" xfId="197"/>
    <cellStyle name="Note 2 2 2 5 2" xfId="219"/>
    <cellStyle name="Note 2 2 2 6" xfId="220"/>
    <cellStyle name="Note 2 2 2 7" xfId="221"/>
    <cellStyle name="Note 2 2 3" xfId="177"/>
    <cellStyle name="Note 2 2 3 2" xfId="198"/>
    <cellStyle name="Note 2 2 3 2 2" xfId="222"/>
    <cellStyle name="Note 2 2 3 3" xfId="223"/>
    <cellStyle name="Note 2 2 4" xfId="184"/>
    <cellStyle name="Note 2 2 4 2" xfId="199"/>
    <cellStyle name="Note 2 2 4 2 2" xfId="224"/>
    <cellStyle name="Note 2 2 4 3" xfId="225"/>
    <cellStyle name="Note 2 2 5" xfId="185"/>
    <cellStyle name="Note 2 2 5 2" xfId="226"/>
    <cellStyle name="Note 2 2 5 3" xfId="227"/>
    <cellStyle name="Note 2 2 6" xfId="200"/>
    <cellStyle name="Note 2 2 6 2" xfId="228"/>
    <cellStyle name="Note 2 2 7" xfId="229"/>
    <cellStyle name="Note 2 2 8" xfId="230"/>
    <cellStyle name="Note 2 3" xfId="173"/>
    <cellStyle name="Note 2 3 2" xfId="182"/>
    <cellStyle name="Note 2 3 2 2" xfId="201"/>
    <cellStyle name="Note 2 3 2 2 2" xfId="231"/>
    <cellStyle name="Note 2 3 2 3" xfId="232"/>
    <cellStyle name="Note 2 3 3" xfId="188"/>
    <cellStyle name="Note 2 3 3 2" xfId="202"/>
    <cellStyle name="Note 2 3 3 2 2" xfId="233"/>
    <cellStyle name="Note 2 3 3 3" xfId="234"/>
    <cellStyle name="Note 2 3 4" xfId="191"/>
    <cellStyle name="Note 2 3 4 2" xfId="235"/>
    <cellStyle name="Note 2 3 4 3" xfId="236"/>
    <cellStyle name="Note 2 3 5" xfId="203"/>
    <cellStyle name="Note 2 3 5 2" xfId="237"/>
    <cellStyle name="Note 2 3 6" xfId="238"/>
    <cellStyle name="Note 2 3 7" xfId="239"/>
    <cellStyle name="Note 2 4" xfId="1865"/>
    <cellStyle name="Note 3" xfId="17"/>
    <cellStyle name="Note 3 2" xfId="171"/>
    <cellStyle name="Note 3 2 2" xfId="176"/>
    <cellStyle name="Note 3 2 2 2" xfId="179"/>
    <cellStyle name="Note 3 2 2 2 2" xfId="204"/>
    <cellStyle name="Note 3 2 2 2 2 2" xfId="240"/>
    <cellStyle name="Note 3 2 2 2 3" xfId="241"/>
    <cellStyle name="Note 3 2 2 3" xfId="178"/>
    <cellStyle name="Note 3 2 2 3 2" xfId="205"/>
    <cellStyle name="Note 3 2 2 3 2 2" xfId="242"/>
    <cellStyle name="Note 3 2 2 3 3" xfId="243"/>
    <cellStyle name="Note 3 2 2 4" xfId="194"/>
    <cellStyle name="Note 3 2 2 4 2" xfId="244"/>
    <cellStyle name="Note 3 2 2 4 3" xfId="245"/>
    <cellStyle name="Note 3 2 2 5" xfId="206"/>
    <cellStyle name="Note 3 2 2 5 2" xfId="246"/>
    <cellStyle name="Note 3 2 2 6" xfId="247"/>
    <cellStyle name="Note 3 2 2 7" xfId="248"/>
    <cellStyle name="Note 3 2 3" xfId="183"/>
    <cellStyle name="Note 3 2 3 2" xfId="207"/>
    <cellStyle name="Note 3 2 3 2 2" xfId="249"/>
    <cellStyle name="Note 3 2 3 3" xfId="250"/>
    <cellStyle name="Note 3 2 4" xfId="187"/>
    <cellStyle name="Note 3 2 4 2" xfId="208"/>
    <cellStyle name="Note 3 2 4 2 2" xfId="251"/>
    <cellStyle name="Note 3 2 4 3" xfId="252"/>
    <cellStyle name="Note 3 2 5" xfId="190"/>
    <cellStyle name="Note 3 2 5 2" xfId="253"/>
    <cellStyle name="Note 3 2 5 3" xfId="254"/>
    <cellStyle name="Note 3 2 6" xfId="209"/>
    <cellStyle name="Note 3 2 6 2" xfId="255"/>
    <cellStyle name="Note 3 2 7" xfId="256"/>
    <cellStyle name="Note 3 2 8" xfId="257"/>
    <cellStyle name="Note 3 3" xfId="174"/>
    <cellStyle name="Note 3 3 2" xfId="181"/>
    <cellStyle name="Note 3 3 2 2" xfId="210"/>
    <cellStyle name="Note 3 3 2 2 2" xfId="258"/>
    <cellStyle name="Note 3 3 2 3" xfId="259"/>
    <cellStyle name="Note 3 3 3" xfId="189"/>
    <cellStyle name="Note 3 3 3 2" xfId="211"/>
    <cellStyle name="Note 3 3 3 2 2" xfId="260"/>
    <cellStyle name="Note 3 3 3 3" xfId="261"/>
    <cellStyle name="Note 3 3 4" xfId="192"/>
    <cellStyle name="Note 3 3 4 2" xfId="262"/>
    <cellStyle name="Note 3 3 4 3" xfId="263"/>
    <cellStyle name="Note 3 3 5" xfId="212"/>
    <cellStyle name="Note 3 3 5 2" xfId="264"/>
    <cellStyle name="Note 3 3 6" xfId="265"/>
    <cellStyle name="Note 3 3 7" xfId="266"/>
    <cellStyle name="Note 3 4" xfId="1866"/>
    <cellStyle name="Note 4" xfId="1867"/>
    <cellStyle name="Note 4 2" xfId="1868"/>
    <cellStyle name="Note 5" xfId="1869"/>
    <cellStyle name="Note 6" xfId="1870"/>
    <cellStyle name="Note 7" xfId="1871"/>
    <cellStyle name="Note 8" xfId="1872"/>
    <cellStyle name="Note 9" xfId="1873"/>
    <cellStyle name="Output" xfId="1874"/>
    <cellStyle name="Output 2" xfId="1875"/>
    <cellStyle name="Output 3" xfId="1876"/>
    <cellStyle name="Output 4" xfId="1877"/>
    <cellStyle name="Output 5" xfId="1878"/>
    <cellStyle name="Output 6" xfId="1879"/>
    <cellStyle name="Title" xfId="1880"/>
    <cellStyle name="Title 2" xfId="1881"/>
    <cellStyle name="Title 3" xfId="1882"/>
    <cellStyle name="Title 4" xfId="1883"/>
    <cellStyle name="Title 5" xfId="1884"/>
    <cellStyle name="Title 6" xfId="1885"/>
    <cellStyle name="Total" xfId="1886"/>
    <cellStyle name="Total 2" xfId="1887"/>
    <cellStyle name="Total 3" xfId="1888"/>
    <cellStyle name="Total 4" xfId="1889"/>
    <cellStyle name="Total 5" xfId="1890"/>
    <cellStyle name="Total 6" xfId="1891"/>
    <cellStyle name="Warning Text" xfId="1892"/>
    <cellStyle name="Warning Text 2" xfId="1893"/>
    <cellStyle name="Warning Text 3" xfId="1894"/>
    <cellStyle name="Warning Text 4" xfId="1895"/>
    <cellStyle name="Warning Text 5" xfId="1896"/>
    <cellStyle name="Warning Text 6" xfId="1897"/>
    <cellStyle name="강조색1 10" xfId="1898"/>
    <cellStyle name="강조색1 10 2" xfId="1899"/>
    <cellStyle name="강조색1 11" xfId="1900"/>
    <cellStyle name="강조색1 11 2" xfId="1901"/>
    <cellStyle name="강조색1 12" xfId="1902"/>
    <cellStyle name="강조색1 12 2" xfId="1903"/>
    <cellStyle name="강조색1 13" xfId="1904"/>
    <cellStyle name="강조색1 13 2" xfId="1905"/>
    <cellStyle name="강조색1 14" xfId="1906"/>
    <cellStyle name="강조색1 15" xfId="1907"/>
    <cellStyle name="강조색1 2" xfId="1908"/>
    <cellStyle name="강조색1 2 10" xfId="1909"/>
    <cellStyle name="강조색1 2 11" xfId="1910"/>
    <cellStyle name="강조색1 2 12" xfId="1911"/>
    <cellStyle name="강조색1 2 13" xfId="1912"/>
    <cellStyle name="강조색1 2 14" xfId="1913"/>
    <cellStyle name="강조색1 2 2" xfId="1914"/>
    <cellStyle name="강조색1 2 3" xfId="1915"/>
    <cellStyle name="강조색1 2 4" xfId="1916"/>
    <cellStyle name="강조색1 2 5" xfId="1917"/>
    <cellStyle name="강조색1 2 6" xfId="1918"/>
    <cellStyle name="강조색1 2 7" xfId="1919"/>
    <cellStyle name="강조색1 2 8" xfId="1920"/>
    <cellStyle name="강조색1 2 9" xfId="1921"/>
    <cellStyle name="강조색1 3" xfId="1922"/>
    <cellStyle name="강조색1 3 10" xfId="1923"/>
    <cellStyle name="강조색1 3 2" xfId="1924"/>
    <cellStyle name="강조색1 3 2 2" xfId="1925"/>
    <cellStyle name="강조색1 3 2 3" xfId="1926"/>
    <cellStyle name="강조색1 3 2 4" xfId="1927"/>
    <cellStyle name="강조색1 3 3" xfId="1928"/>
    <cellStyle name="강조색1 3 4" xfId="1929"/>
    <cellStyle name="강조색1 3 5" xfId="1930"/>
    <cellStyle name="강조색1 3 6" xfId="1931"/>
    <cellStyle name="강조색1 3 7" xfId="1932"/>
    <cellStyle name="강조색1 3 8" xfId="1933"/>
    <cellStyle name="강조색1 3 9" xfId="1934"/>
    <cellStyle name="강조색1 4" xfId="1935"/>
    <cellStyle name="강조색1 4 2" xfId="1936"/>
    <cellStyle name="강조색1 4 3" xfId="1937"/>
    <cellStyle name="강조색1 4 4" xfId="1938"/>
    <cellStyle name="강조색1 5" xfId="1939"/>
    <cellStyle name="강조색1 5 10" xfId="1940"/>
    <cellStyle name="강조색1 5 11" xfId="1941"/>
    <cellStyle name="강조색1 5 12" xfId="1942"/>
    <cellStyle name="강조색1 5 13" xfId="1943"/>
    <cellStyle name="강조색1 5 14" xfId="1944"/>
    <cellStyle name="강조색1 5 2" xfId="1945"/>
    <cellStyle name="강조색1 5 3" xfId="1946"/>
    <cellStyle name="강조색1 5 4" xfId="1947"/>
    <cellStyle name="강조색1 5 5" xfId="1948"/>
    <cellStyle name="강조색1 5 6" xfId="1949"/>
    <cellStyle name="강조색1 5 7" xfId="1950"/>
    <cellStyle name="강조색1 5 8" xfId="1951"/>
    <cellStyle name="강조색1 5 9" xfId="1952"/>
    <cellStyle name="강조색1 6" xfId="1953"/>
    <cellStyle name="강조색1 6 2" xfId="1954"/>
    <cellStyle name="강조색1 6 3" xfId="1955"/>
    <cellStyle name="강조색1 6 4" xfId="1956"/>
    <cellStyle name="강조색1 6 5" xfId="1957"/>
    <cellStyle name="강조색1 7" xfId="1958"/>
    <cellStyle name="강조색1 7 2" xfId="1959"/>
    <cellStyle name="강조색1 8" xfId="1960"/>
    <cellStyle name="강조색1 8 2" xfId="1961"/>
    <cellStyle name="강조색1 9" xfId="1962"/>
    <cellStyle name="강조색1 9 2" xfId="1963"/>
    <cellStyle name="강조색2 10" xfId="1964"/>
    <cellStyle name="강조색2 10 2" xfId="1965"/>
    <cellStyle name="강조색2 11" xfId="1966"/>
    <cellStyle name="강조색2 11 2" xfId="1967"/>
    <cellStyle name="강조색2 12" xfId="1968"/>
    <cellStyle name="강조색2 12 2" xfId="1969"/>
    <cellStyle name="강조색2 13" xfId="1970"/>
    <cellStyle name="강조색2 13 2" xfId="1971"/>
    <cellStyle name="강조색2 14" xfId="1972"/>
    <cellStyle name="강조색2 15" xfId="1973"/>
    <cellStyle name="강조색2 16" xfId="1974"/>
    <cellStyle name="강조색2 2" xfId="1975"/>
    <cellStyle name="강조색2 2 10" xfId="1976"/>
    <cellStyle name="강조색2 2 11" xfId="1977"/>
    <cellStyle name="강조색2 2 12" xfId="1978"/>
    <cellStyle name="강조색2 2 13" xfId="1979"/>
    <cellStyle name="강조색2 2 14" xfId="1980"/>
    <cellStyle name="강조색2 2 2" xfId="1981"/>
    <cellStyle name="강조색2 2 3" xfId="1982"/>
    <cellStyle name="강조색2 2 4" xfId="1983"/>
    <cellStyle name="강조색2 2 5" xfId="1984"/>
    <cellStyle name="강조색2 2 6" xfId="1985"/>
    <cellStyle name="강조색2 2 7" xfId="1986"/>
    <cellStyle name="강조색2 2 8" xfId="1987"/>
    <cellStyle name="강조색2 2 9" xfId="1988"/>
    <cellStyle name="강조색2 3" xfId="1989"/>
    <cellStyle name="강조색2 3 10" xfId="1990"/>
    <cellStyle name="강조색2 3 2" xfId="1991"/>
    <cellStyle name="강조색2 3 2 2" xfId="1992"/>
    <cellStyle name="강조색2 3 2 3" xfId="1993"/>
    <cellStyle name="강조색2 3 2 4" xfId="1994"/>
    <cellStyle name="강조색2 3 3" xfId="1995"/>
    <cellStyle name="강조색2 3 4" xfId="1996"/>
    <cellStyle name="강조색2 3 5" xfId="1997"/>
    <cellStyle name="강조색2 3 6" xfId="1998"/>
    <cellStyle name="강조색2 3 7" xfId="1999"/>
    <cellStyle name="강조색2 3 8" xfId="2000"/>
    <cellStyle name="강조색2 3 9" xfId="2001"/>
    <cellStyle name="강조색2 4" xfId="2002"/>
    <cellStyle name="강조색2 4 2" xfId="2003"/>
    <cellStyle name="강조색2 4 3" xfId="2004"/>
    <cellStyle name="강조색2 4 4" xfId="2005"/>
    <cellStyle name="강조색2 5" xfId="2006"/>
    <cellStyle name="강조색2 5 10" xfId="2007"/>
    <cellStyle name="강조색2 5 11" xfId="2008"/>
    <cellStyle name="강조색2 5 12" xfId="2009"/>
    <cellStyle name="강조색2 5 13" xfId="2010"/>
    <cellStyle name="강조색2 5 14" xfId="2011"/>
    <cellStyle name="강조색2 5 2" xfId="2012"/>
    <cellStyle name="강조색2 5 3" xfId="2013"/>
    <cellStyle name="강조색2 5 4" xfId="2014"/>
    <cellStyle name="강조색2 5 5" xfId="2015"/>
    <cellStyle name="강조색2 5 6" xfId="2016"/>
    <cellStyle name="강조색2 5 7" xfId="2017"/>
    <cellStyle name="강조색2 5 8" xfId="2018"/>
    <cellStyle name="강조색2 5 9" xfId="2019"/>
    <cellStyle name="강조색2 6" xfId="2020"/>
    <cellStyle name="강조색2 6 2" xfId="2021"/>
    <cellStyle name="강조색2 6 3" xfId="2022"/>
    <cellStyle name="강조색2 6 4" xfId="2023"/>
    <cellStyle name="강조색2 6 5" xfId="2024"/>
    <cellStyle name="강조색2 7" xfId="2025"/>
    <cellStyle name="강조색2 7 2" xfId="2026"/>
    <cellStyle name="강조색2 8" xfId="2027"/>
    <cellStyle name="강조색2 8 2" xfId="2028"/>
    <cellStyle name="강조색2 9" xfId="2029"/>
    <cellStyle name="강조색2 9 2" xfId="2030"/>
    <cellStyle name="강조색3 10" xfId="2031"/>
    <cellStyle name="강조색3 10 2" xfId="2032"/>
    <cellStyle name="강조색3 11" xfId="2033"/>
    <cellStyle name="강조색3 11 2" xfId="2034"/>
    <cellStyle name="강조색3 12" xfId="2035"/>
    <cellStyle name="강조색3 12 2" xfId="2036"/>
    <cellStyle name="강조색3 13" xfId="2037"/>
    <cellStyle name="강조색3 13 2" xfId="2038"/>
    <cellStyle name="강조색3 14" xfId="2039"/>
    <cellStyle name="강조색3 15" xfId="2040"/>
    <cellStyle name="강조색3 2" xfId="2041"/>
    <cellStyle name="강조색3 2 10" xfId="2042"/>
    <cellStyle name="강조색3 2 11" xfId="2043"/>
    <cellStyle name="강조색3 2 12" xfId="2044"/>
    <cellStyle name="강조색3 2 13" xfId="2045"/>
    <cellStyle name="강조색3 2 14" xfId="2046"/>
    <cellStyle name="강조색3 2 2" xfId="2047"/>
    <cellStyle name="강조색3 2 3" xfId="2048"/>
    <cellStyle name="강조색3 2 4" xfId="2049"/>
    <cellStyle name="강조색3 2 5" xfId="2050"/>
    <cellStyle name="강조색3 2 6" xfId="2051"/>
    <cellStyle name="강조색3 2 7" xfId="2052"/>
    <cellStyle name="강조색3 2 8" xfId="2053"/>
    <cellStyle name="강조색3 2 9" xfId="2054"/>
    <cellStyle name="강조색3 3" xfId="2055"/>
    <cellStyle name="강조색3 3 10" xfId="2056"/>
    <cellStyle name="강조색3 3 2" xfId="2057"/>
    <cellStyle name="강조색3 3 2 2" xfId="2058"/>
    <cellStyle name="강조색3 3 2 3" xfId="2059"/>
    <cellStyle name="강조색3 3 2 4" xfId="2060"/>
    <cellStyle name="강조색3 3 3" xfId="2061"/>
    <cellStyle name="강조색3 3 4" xfId="2062"/>
    <cellStyle name="강조색3 3 5" xfId="2063"/>
    <cellStyle name="강조색3 3 6" xfId="2064"/>
    <cellStyle name="강조색3 3 7" xfId="2065"/>
    <cellStyle name="강조색3 3 8" xfId="2066"/>
    <cellStyle name="강조색3 3 9" xfId="2067"/>
    <cellStyle name="강조색3 4" xfId="2068"/>
    <cellStyle name="강조색3 4 2" xfId="2069"/>
    <cellStyle name="강조색3 4 3" xfId="2070"/>
    <cellStyle name="강조색3 4 4" xfId="2071"/>
    <cellStyle name="강조색3 5" xfId="2072"/>
    <cellStyle name="강조색3 5 10" xfId="2073"/>
    <cellStyle name="강조색3 5 11" xfId="2074"/>
    <cellStyle name="강조색3 5 12" xfId="2075"/>
    <cellStyle name="강조색3 5 13" xfId="2076"/>
    <cellStyle name="강조색3 5 14" xfId="2077"/>
    <cellStyle name="강조색3 5 2" xfId="2078"/>
    <cellStyle name="강조색3 5 3" xfId="2079"/>
    <cellStyle name="강조색3 5 4" xfId="2080"/>
    <cellStyle name="강조색3 5 5" xfId="2081"/>
    <cellStyle name="강조색3 5 6" xfId="2082"/>
    <cellStyle name="강조색3 5 7" xfId="2083"/>
    <cellStyle name="강조색3 5 8" xfId="2084"/>
    <cellStyle name="강조색3 5 9" xfId="2085"/>
    <cellStyle name="강조색3 6" xfId="2086"/>
    <cellStyle name="강조색3 6 2" xfId="2087"/>
    <cellStyle name="강조색3 6 3" xfId="2088"/>
    <cellStyle name="강조색3 6 4" xfId="2089"/>
    <cellStyle name="강조색3 6 5" xfId="2090"/>
    <cellStyle name="강조색3 7" xfId="2091"/>
    <cellStyle name="강조색3 7 2" xfId="2092"/>
    <cellStyle name="강조색3 8" xfId="2093"/>
    <cellStyle name="강조색3 8 2" xfId="2094"/>
    <cellStyle name="강조색3 9" xfId="2095"/>
    <cellStyle name="강조색3 9 2" xfId="2096"/>
    <cellStyle name="강조색4 10" xfId="2097"/>
    <cellStyle name="강조색4 10 2" xfId="2098"/>
    <cellStyle name="강조색4 11" xfId="2099"/>
    <cellStyle name="강조색4 11 2" xfId="2100"/>
    <cellStyle name="강조색4 12" xfId="2101"/>
    <cellStyle name="강조색4 12 2" xfId="2102"/>
    <cellStyle name="강조색4 13" xfId="2103"/>
    <cellStyle name="강조색4 13 2" xfId="2104"/>
    <cellStyle name="강조색4 14" xfId="2105"/>
    <cellStyle name="강조색4 15" xfId="2106"/>
    <cellStyle name="강조색4 2" xfId="2107"/>
    <cellStyle name="강조색4 2 10" xfId="2108"/>
    <cellStyle name="강조색4 2 11" xfId="2109"/>
    <cellStyle name="강조색4 2 12" xfId="2110"/>
    <cellStyle name="강조색4 2 13" xfId="2111"/>
    <cellStyle name="강조색4 2 14" xfId="2112"/>
    <cellStyle name="강조색4 2 2" xfId="2113"/>
    <cellStyle name="강조색4 2 3" xfId="2114"/>
    <cellStyle name="강조색4 2 4" xfId="2115"/>
    <cellStyle name="강조색4 2 5" xfId="2116"/>
    <cellStyle name="강조색4 2 6" xfId="2117"/>
    <cellStyle name="강조색4 2 7" xfId="2118"/>
    <cellStyle name="강조색4 2 8" xfId="2119"/>
    <cellStyle name="강조색4 2 9" xfId="2120"/>
    <cellStyle name="강조색4 3" xfId="2121"/>
    <cellStyle name="강조색4 3 10" xfId="2122"/>
    <cellStyle name="강조색4 3 2" xfId="2123"/>
    <cellStyle name="강조색4 3 2 2" xfId="2124"/>
    <cellStyle name="강조색4 3 2 3" xfId="2125"/>
    <cellStyle name="강조색4 3 2 4" xfId="2126"/>
    <cellStyle name="강조색4 3 3" xfId="2127"/>
    <cellStyle name="강조색4 3 4" xfId="2128"/>
    <cellStyle name="강조색4 3 5" xfId="2129"/>
    <cellStyle name="강조색4 3 6" xfId="2130"/>
    <cellStyle name="강조색4 3 7" xfId="2131"/>
    <cellStyle name="강조색4 3 8" xfId="2132"/>
    <cellStyle name="강조색4 3 9" xfId="2133"/>
    <cellStyle name="강조색4 4" xfId="2134"/>
    <cellStyle name="강조색4 4 2" xfId="2135"/>
    <cellStyle name="강조색4 4 3" xfId="2136"/>
    <cellStyle name="강조색4 4 4" xfId="2137"/>
    <cellStyle name="강조색4 5" xfId="2138"/>
    <cellStyle name="강조색4 5 10" xfId="2139"/>
    <cellStyle name="강조색4 5 11" xfId="2140"/>
    <cellStyle name="강조색4 5 12" xfId="2141"/>
    <cellStyle name="강조색4 5 13" xfId="2142"/>
    <cellStyle name="강조색4 5 14" xfId="2143"/>
    <cellStyle name="강조색4 5 2" xfId="2144"/>
    <cellStyle name="강조색4 5 3" xfId="2145"/>
    <cellStyle name="강조색4 5 4" xfId="2146"/>
    <cellStyle name="강조색4 5 5" xfId="2147"/>
    <cellStyle name="강조색4 5 6" xfId="2148"/>
    <cellStyle name="강조색4 5 7" xfId="2149"/>
    <cellStyle name="강조색4 5 8" xfId="2150"/>
    <cellStyle name="강조색4 5 9" xfId="2151"/>
    <cellStyle name="강조색4 6" xfId="2152"/>
    <cellStyle name="강조색4 6 2" xfId="2153"/>
    <cellStyle name="강조색4 6 3" xfId="2154"/>
    <cellStyle name="강조색4 6 4" xfId="2155"/>
    <cellStyle name="강조색4 6 5" xfId="2156"/>
    <cellStyle name="강조색4 7" xfId="2157"/>
    <cellStyle name="강조색4 7 2" xfId="2158"/>
    <cellStyle name="강조색4 8" xfId="2159"/>
    <cellStyle name="강조색4 8 2" xfId="2160"/>
    <cellStyle name="강조색4 9" xfId="2161"/>
    <cellStyle name="강조색4 9 2" xfId="2162"/>
    <cellStyle name="강조색5 10" xfId="2163"/>
    <cellStyle name="강조색5 10 2" xfId="2164"/>
    <cellStyle name="강조색5 11" xfId="2165"/>
    <cellStyle name="강조색5 11 2" xfId="2166"/>
    <cellStyle name="강조색5 12" xfId="2167"/>
    <cellStyle name="강조색5 12 2" xfId="2168"/>
    <cellStyle name="강조색5 13" xfId="2169"/>
    <cellStyle name="강조색5 13 2" xfId="2170"/>
    <cellStyle name="강조색5 14" xfId="2171"/>
    <cellStyle name="강조색5 15" xfId="2172"/>
    <cellStyle name="강조색5 2" xfId="2173"/>
    <cellStyle name="강조색5 2 10" xfId="2174"/>
    <cellStyle name="강조색5 2 11" xfId="2175"/>
    <cellStyle name="강조색5 2 12" xfId="2176"/>
    <cellStyle name="강조색5 2 13" xfId="2177"/>
    <cellStyle name="강조색5 2 14" xfId="2178"/>
    <cellStyle name="강조색5 2 2" xfId="2179"/>
    <cellStyle name="강조색5 2 3" xfId="2180"/>
    <cellStyle name="강조색5 2 4" xfId="2181"/>
    <cellStyle name="강조색5 2 5" xfId="2182"/>
    <cellStyle name="강조색5 2 6" xfId="2183"/>
    <cellStyle name="강조색5 2 7" xfId="2184"/>
    <cellStyle name="강조색5 2 8" xfId="2185"/>
    <cellStyle name="강조색5 2 9" xfId="2186"/>
    <cellStyle name="강조색5 3" xfId="2187"/>
    <cellStyle name="강조색5 3 10" xfId="2188"/>
    <cellStyle name="강조색5 3 2" xfId="2189"/>
    <cellStyle name="강조색5 3 2 2" xfId="2190"/>
    <cellStyle name="강조색5 3 2 3" xfId="2191"/>
    <cellStyle name="강조색5 3 2 4" xfId="2192"/>
    <cellStyle name="강조색5 3 3" xfId="2193"/>
    <cellStyle name="강조색5 3 4" xfId="2194"/>
    <cellStyle name="강조색5 3 5" xfId="2195"/>
    <cellStyle name="강조색5 3 6" xfId="2196"/>
    <cellStyle name="강조색5 3 7" xfId="2197"/>
    <cellStyle name="강조색5 3 8" xfId="2198"/>
    <cellStyle name="강조색5 3 9" xfId="2199"/>
    <cellStyle name="강조색5 4" xfId="2200"/>
    <cellStyle name="강조색5 4 2" xfId="2201"/>
    <cellStyle name="강조색5 4 3" xfId="2202"/>
    <cellStyle name="강조색5 4 4" xfId="2203"/>
    <cellStyle name="강조색5 5" xfId="2204"/>
    <cellStyle name="강조색5 5 10" xfId="2205"/>
    <cellStyle name="강조색5 5 11" xfId="2206"/>
    <cellStyle name="강조색5 5 12" xfId="2207"/>
    <cellStyle name="강조색5 5 13" xfId="2208"/>
    <cellStyle name="강조색5 5 14" xfId="2209"/>
    <cellStyle name="강조색5 5 2" xfId="2210"/>
    <cellStyle name="강조색5 5 3" xfId="2211"/>
    <cellStyle name="강조색5 5 4" xfId="2212"/>
    <cellStyle name="강조색5 5 5" xfId="2213"/>
    <cellStyle name="강조색5 5 6" xfId="2214"/>
    <cellStyle name="강조색5 5 7" xfId="2215"/>
    <cellStyle name="강조색5 5 8" xfId="2216"/>
    <cellStyle name="강조색5 5 9" xfId="2217"/>
    <cellStyle name="강조색5 6" xfId="2218"/>
    <cellStyle name="강조색5 6 2" xfId="2219"/>
    <cellStyle name="강조색5 6 3" xfId="2220"/>
    <cellStyle name="강조색5 6 4" xfId="2221"/>
    <cellStyle name="강조색5 6 5" xfId="2222"/>
    <cellStyle name="강조색5 7" xfId="2223"/>
    <cellStyle name="강조색5 7 2" xfId="2224"/>
    <cellStyle name="강조색5 8" xfId="2225"/>
    <cellStyle name="강조색5 8 2" xfId="2226"/>
    <cellStyle name="강조색5 9" xfId="2227"/>
    <cellStyle name="강조색5 9 2" xfId="2228"/>
    <cellStyle name="강조색6 10" xfId="2229"/>
    <cellStyle name="강조색6 10 2" xfId="2230"/>
    <cellStyle name="강조색6 11" xfId="2231"/>
    <cellStyle name="강조색6 11 2" xfId="2232"/>
    <cellStyle name="강조색6 12" xfId="2233"/>
    <cellStyle name="강조색6 12 2" xfId="2234"/>
    <cellStyle name="강조색6 13" xfId="2235"/>
    <cellStyle name="강조색6 13 2" xfId="2236"/>
    <cellStyle name="강조색6 14" xfId="2237"/>
    <cellStyle name="강조색6 15" xfId="2238"/>
    <cellStyle name="강조색6 2" xfId="2239"/>
    <cellStyle name="강조색6 2 10" xfId="2240"/>
    <cellStyle name="강조색6 2 11" xfId="2241"/>
    <cellStyle name="강조색6 2 12" xfId="2242"/>
    <cellStyle name="강조색6 2 13" xfId="2243"/>
    <cellStyle name="강조색6 2 14" xfId="2244"/>
    <cellStyle name="강조색6 2 2" xfId="2245"/>
    <cellStyle name="강조색6 2 3" xfId="2246"/>
    <cellStyle name="강조색6 2 4" xfId="2247"/>
    <cellStyle name="강조색6 2 5" xfId="2248"/>
    <cellStyle name="강조색6 2 6" xfId="2249"/>
    <cellStyle name="강조색6 2 7" xfId="2250"/>
    <cellStyle name="강조색6 2 8" xfId="2251"/>
    <cellStyle name="강조색6 2 9" xfId="2252"/>
    <cellStyle name="강조색6 3" xfId="2253"/>
    <cellStyle name="강조색6 3 10" xfId="2254"/>
    <cellStyle name="강조색6 3 2" xfId="2255"/>
    <cellStyle name="강조색6 3 2 2" xfId="2256"/>
    <cellStyle name="강조색6 3 2 3" xfId="2257"/>
    <cellStyle name="강조색6 3 2 4" xfId="2258"/>
    <cellStyle name="강조색6 3 3" xfId="2259"/>
    <cellStyle name="강조색6 3 4" xfId="2260"/>
    <cellStyle name="강조색6 3 5" xfId="2261"/>
    <cellStyle name="강조색6 3 6" xfId="2262"/>
    <cellStyle name="강조색6 3 7" xfId="2263"/>
    <cellStyle name="강조색6 3 8" xfId="2264"/>
    <cellStyle name="강조색6 3 9" xfId="2265"/>
    <cellStyle name="강조색6 4" xfId="2266"/>
    <cellStyle name="강조색6 4 2" xfId="2267"/>
    <cellStyle name="강조색6 4 3" xfId="2268"/>
    <cellStyle name="강조색6 4 4" xfId="2269"/>
    <cellStyle name="강조색6 5" xfId="2270"/>
    <cellStyle name="강조색6 5 10" xfId="2271"/>
    <cellStyle name="강조색6 5 11" xfId="2272"/>
    <cellStyle name="강조색6 5 12" xfId="2273"/>
    <cellStyle name="강조색6 5 13" xfId="2274"/>
    <cellStyle name="강조색6 5 14" xfId="2275"/>
    <cellStyle name="강조색6 5 2" xfId="2276"/>
    <cellStyle name="강조색6 5 3" xfId="2277"/>
    <cellStyle name="강조색6 5 4" xfId="2278"/>
    <cellStyle name="강조색6 5 5" xfId="2279"/>
    <cellStyle name="강조색6 5 6" xfId="2280"/>
    <cellStyle name="강조색6 5 7" xfId="2281"/>
    <cellStyle name="강조색6 5 8" xfId="2282"/>
    <cellStyle name="강조색6 5 9" xfId="2283"/>
    <cellStyle name="강조색6 6" xfId="2284"/>
    <cellStyle name="강조색6 6 2" xfId="2285"/>
    <cellStyle name="강조색6 6 3" xfId="2286"/>
    <cellStyle name="강조색6 6 4" xfId="2287"/>
    <cellStyle name="강조색6 6 5" xfId="2288"/>
    <cellStyle name="강조색6 7" xfId="2289"/>
    <cellStyle name="강조색6 7 2" xfId="2290"/>
    <cellStyle name="강조색6 8" xfId="2291"/>
    <cellStyle name="강조색6 8 2" xfId="2292"/>
    <cellStyle name="강조색6 9" xfId="2293"/>
    <cellStyle name="강조색6 9 2" xfId="2294"/>
    <cellStyle name="경고문 10" xfId="2295"/>
    <cellStyle name="경고문 10 2" xfId="2296"/>
    <cellStyle name="경고문 11" xfId="2297"/>
    <cellStyle name="경고문 11 2" xfId="2298"/>
    <cellStyle name="경고문 12" xfId="2299"/>
    <cellStyle name="경고문 12 2" xfId="2300"/>
    <cellStyle name="경고문 13" xfId="2301"/>
    <cellStyle name="경고문 13 2" xfId="2302"/>
    <cellStyle name="경고문 14" xfId="2303"/>
    <cellStyle name="경고문 15" xfId="2304"/>
    <cellStyle name="경고문 2" xfId="2305"/>
    <cellStyle name="경고문 2 10" xfId="2306"/>
    <cellStyle name="경고문 2 11" xfId="2307"/>
    <cellStyle name="경고문 2 12" xfId="2308"/>
    <cellStyle name="경고문 2 13" xfId="2309"/>
    <cellStyle name="경고문 2 14" xfId="2310"/>
    <cellStyle name="경고문 2 2" xfId="2311"/>
    <cellStyle name="경고문 2 3" xfId="2312"/>
    <cellStyle name="경고문 2 4" xfId="2313"/>
    <cellStyle name="경고문 2 5" xfId="2314"/>
    <cellStyle name="경고문 2 6" xfId="2315"/>
    <cellStyle name="경고문 2 7" xfId="2316"/>
    <cellStyle name="경고문 2 8" xfId="2317"/>
    <cellStyle name="경고문 2 9" xfId="2318"/>
    <cellStyle name="경고문 3" xfId="2319"/>
    <cellStyle name="경고문 3 10" xfId="2320"/>
    <cellStyle name="경고문 3 2" xfId="2321"/>
    <cellStyle name="경고문 3 2 2" xfId="2322"/>
    <cellStyle name="경고문 3 2 3" xfId="2323"/>
    <cellStyle name="경고문 3 2 4" xfId="2324"/>
    <cellStyle name="경고문 3 3" xfId="2325"/>
    <cellStyle name="경고문 3 4" xfId="2326"/>
    <cellStyle name="경고문 3 5" xfId="2327"/>
    <cellStyle name="경고문 3 6" xfId="2328"/>
    <cellStyle name="경고문 3 7" xfId="2329"/>
    <cellStyle name="경고문 3 8" xfId="2330"/>
    <cellStyle name="경고문 3 9" xfId="2331"/>
    <cellStyle name="경고문 4" xfId="2332"/>
    <cellStyle name="경고문 4 2" xfId="2333"/>
    <cellStyle name="경고문 4 3" xfId="2334"/>
    <cellStyle name="경고문 4 4" xfId="2335"/>
    <cellStyle name="경고문 5" xfId="2336"/>
    <cellStyle name="경고문 5 10" xfId="2337"/>
    <cellStyle name="경고문 5 11" xfId="2338"/>
    <cellStyle name="경고문 5 12" xfId="2339"/>
    <cellStyle name="경고문 5 13" xfId="2340"/>
    <cellStyle name="경고문 5 14" xfId="2341"/>
    <cellStyle name="경고문 5 2" xfId="2342"/>
    <cellStyle name="경고문 5 3" xfId="2343"/>
    <cellStyle name="경고문 5 4" xfId="2344"/>
    <cellStyle name="경고문 5 5" xfId="2345"/>
    <cellStyle name="경고문 5 6" xfId="2346"/>
    <cellStyle name="경고문 5 7" xfId="2347"/>
    <cellStyle name="경고문 5 8" xfId="2348"/>
    <cellStyle name="경고문 5 9" xfId="2349"/>
    <cellStyle name="경고문 6" xfId="2350"/>
    <cellStyle name="경고문 6 2" xfId="2351"/>
    <cellStyle name="경고문 6 3" xfId="2352"/>
    <cellStyle name="경고문 6 4" xfId="2353"/>
    <cellStyle name="경고문 6 5" xfId="2354"/>
    <cellStyle name="경고문 7" xfId="2355"/>
    <cellStyle name="경고문 7 2" xfId="2356"/>
    <cellStyle name="경고문 8" xfId="2357"/>
    <cellStyle name="경고문 8 2" xfId="2358"/>
    <cellStyle name="경고문 9" xfId="2359"/>
    <cellStyle name="경고문 9 2" xfId="2360"/>
    <cellStyle name="계산 10" xfId="2361"/>
    <cellStyle name="계산 10 2" xfId="2362"/>
    <cellStyle name="계산 11" xfId="2363"/>
    <cellStyle name="계산 11 2" xfId="2364"/>
    <cellStyle name="계산 12" xfId="2365"/>
    <cellStyle name="계산 12 2" xfId="2366"/>
    <cellStyle name="계산 13" xfId="2367"/>
    <cellStyle name="계산 13 2" xfId="2368"/>
    <cellStyle name="계산 14" xfId="2369"/>
    <cellStyle name="계산 15" xfId="2370"/>
    <cellStyle name="계산 2" xfId="2371"/>
    <cellStyle name="계산 2 10" xfId="2372"/>
    <cellStyle name="계산 2 11" xfId="2373"/>
    <cellStyle name="계산 2 12" xfId="2374"/>
    <cellStyle name="계산 2 13" xfId="2375"/>
    <cellStyle name="계산 2 14" xfId="2376"/>
    <cellStyle name="계산 2 2" xfId="2377"/>
    <cellStyle name="계산 2 3" xfId="2378"/>
    <cellStyle name="계산 2 4" xfId="2379"/>
    <cellStyle name="계산 2 5" xfId="2380"/>
    <cellStyle name="계산 2 6" xfId="2381"/>
    <cellStyle name="계산 2 7" xfId="2382"/>
    <cellStyle name="계산 2 8" xfId="2383"/>
    <cellStyle name="계산 2 9" xfId="2384"/>
    <cellStyle name="계산 3" xfId="2385"/>
    <cellStyle name="계산 3 10" xfId="2386"/>
    <cellStyle name="계산 3 2" xfId="2387"/>
    <cellStyle name="계산 3 2 2" xfId="2388"/>
    <cellStyle name="계산 3 2 3" xfId="2389"/>
    <cellStyle name="계산 3 2 4" xfId="2390"/>
    <cellStyle name="계산 3 3" xfId="2391"/>
    <cellStyle name="계산 3 4" xfId="2392"/>
    <cellStyle name="계산 3 5" xfId="2393"/>
    <cellStyle name="계산 3 6" xfId="2394"/>
    <cellStyle name="계산 3 7" xfId="2395"/>
    <cellStyle name="계산 3 8" xfId="2396"/>
    <cellStyle name="계산 3 9" xfId="2397"/>
    <cellStyle name="계산 4" xfId="2398"/>
    <cellStyle name="계산 4 2" xfId="2399"/>
    <cellStyle name="계산 4 3" xfId="2400"/>
    <cellStyle name="계산 4 4" xfId="2401"/>
    <cellStyle name="계산 5" xfId="2402"/>
    <cellStyle name="계산 5 10" xfId="2403"/>
    <cellStyle name="계산 5 11" xfId="2404"/>
    <cellStyle name="계산 5 12" xfId="2405"/>
    <cellStyle name="계산 5 13" xfId="2406"/>
    <cellStyle name="계산 5 14" xfId="2407"/>
    <cellStyle name="계산 5 2" xfId="2408"/>
    <cellStyle name="계산 5 3" xfId="2409"/>
    <cellStyle name="계산 5 4" xfId="2410"/>
    <cellStyle name="계산 5 5" xfId="2411"/>
    <cellStyle name="계산 5 6" xfId="2412"/>
    <cellStyle name="계산 5 7" xfId="2413"/>
    <cellStyle name="계산 5 8" xfId="2414"/>
    <cellStyle name="계산 5 9" xfId="2415"/>
    <cellStyle name="계산 6" xfId="2416"/>
    <cellStyle name="계산 6 2" xfId="2417"/>
    <cellStyle name="계산 6 3" xfId="2418"/>
    <cellStyle name="계산 6 4" xfId="2419"/>
    <cellStyle name="계산 6 5" xfId="2420"/>
    <cellStyle name="계산 7" xfId="2421"/>
    <cellStyle name="계산 7 2" xfId="2422"/>
    <cellStyle name="계산 8" xfId="2423"/>
    <cellStyle name="계산 8 2" xfId="2424"/>
    <cellStyle name="계산 9" xfId="2425"/>
    <cellStyle name="계산 9 2" xfId="2426"/>
    <cellStyle name="常规" xfId="0" builtinId="0"/>
    <cellStyle name="나쁨 10" xfId="2427"/>
    <cellStyle name="나쁨 10 2" xfId="2428"/>
    <cellStyle name="나쁨 11" xfId="2429"/>
    <cellStyle name="나쁨 11 2" xfId="2430"/>
    <cellStyle name="나쁨 12" xfId="2431"/>
    <cellStyle name="나쁨 12 2" xfId="2432"/>
    <cellStyle name="나쁨 13" xfId="2433"/>
    <cellStyle name="나쁨 13 2" xfId="2434"/>
    <cellStyle name="나쁨 14" xfId="2435"/>
    <cellStyle name="나쁨 15" xfId="2436"/>
    <cellStyle name="나쁨 2" xfId="2437"/>
    <cellStyle name="나쁨 2 10" xfId="2438"/>
    <cellStyle name="나쁨 2 11" xfId="2439"/>
    <cellStyle name="나쁨 2 12" xfId="2440"/>
    <cellStyle name="나쁨 2 13" xfId="2441"/>
    <cellStyle name="나쁨 2 14" xfId="2442"/>
    <cellStyle name="나쁨 2 2" xfId="2443"/>
    <cellStyle name="나쁨 2 3" xfId="2444"/>
    <cellStyle name="나쁨 2 4" xfId="2445"/>
    <cellStyle name="나쁨 2 5" xfId="2446"/>
    <cellStyle name="나쁨 2 6" xfId="2447"/>
    <cellStyle name="나쁨 2 7" xfId="2448"/>
    <cellStyle name="나쁨 2 8" xfId="2449"/>
    <cellStyle name="나쁨 2 9" xfId="2450"/>
    <cellStyle name="나쁨 3" xfId="2451"/>
    <cellStyle name="나쁨 3 10" xfId="2452"/>
    <cellStyle name="나쁨 3 2" xfId="2453"/>
    <cellStyle name="나쁨 3 2 2" xfId="2454"/>
    <cellStyle name="나쁨 3 2 3" xfId="2455"/>
    <cellStyle name="나쁨 3 2 4" xfId="2456"/>
    <cellStyle name="나쁨 3 3" xfId="2457"/>
    <cellStyle name="나쁨 3 4" xfId="2458"/>
    <cellStyle name="나쁨 3 5" xfId="2459"/>
    <cellStyle name="나쁨 3 6" xfId="2460"/>
    <cellStyle name="나쁨 3 7" xfId="2461"/>
    <cellStyle name="나쁨 3 8" xfId="2462"/>
    <cellStyle name="나쁨 3 9" xfId="2463"/>
    <cellStyle name="나쁨 4" xfId="2464"/>
    <cellStyle name="나쁨 4 2" xfId="2465"/>
    <cellStyle name="나쁨 4 3" xfId="2466"/>
    <cellStyle name="나쁨 4 4" xfId="2467"/>
    <cellStyle name="나쁨 5" xfId="2468"/>
    <cellStyle name="나쁨 5 10" xfId="2469"/>
    <cellStyle name="나쁨 5 11" xfId="2470"/>
    <cellStyle name="나쁨 5 12" xfId="2471"/>
    <cellStyle name="나쁨 5 13" xfId="2472"/>
    <cellStyle name="나쁨 5 14" xfId="2473"/>
    <cellStyle name="나쁨 5 2" xfId="2474"/>
    <cellStyle name="나쁨 5 3" xfId="2475"/>
    <cellStyle name="나쁨 5 4" xfId="2476"/>
    <cellStyle name="나쁨 5 5" xfId="2477"/>
    <cellStyle name="나쁨 5 6" xfId="2478"/>
    <cellStyle name="나쁨 5 7" xfId="2479"/>
    <cellStyle name="나쁨 5 8" xfId="2480"/>
    <cellStyle name="나쁨 5 9" xfId="2481"/>
    <cellStyle name="나쁨 6" xfId="2482"/>
    <cellStyle name="나쁨 6 2" xfId="2483"/>
    <cellStyle name="나쁨 6 3" xfId="2484"/>
    <cellStyle name="나쁨 6 4" xfId="2485"/>
    <cellStyle name="나쁨 6 5" xfId="2486"/>
    <cellStyle name="나쁨 7" xfId="2487"/>
    <cellStyle name="나쁨 7 2" xfId="2488"/>
    <cellStyle name="나쁨 8" xfId="2489"/>
    <cellStyle name="나쁨 8 2" xfId="2490"/>
    <cellStyle name="나쁨 9" xfId="2491"/>
    <cellStyle name="나쁨 9 2" xfId="2492"/>
    <cellStyle name="메모 10" xfId="2493"/>
    <cellStyle name="메모 10 2" xfId="2494"/>
    <cellStyle name="메모 11" xfId="2495"/>
    <cellStyle name="메모 11 2" xfId="2496"/>
    <cellStyle name="메모 12" xfId="2497"/>
    <cellStyle name="메모 12 2" xfId="2498"/>
    <cellStyle name="메모 13" xfId="2499"/>
    <cellStyle name="메모 13 2" xfId="2500"/>
    <cellStyle name="메모 14" xfId="2501"/>
    <cellStyle name="메모 14 2" xfId="2502"/>
    <cellStyle name="메모 14 2 2" xfId="2503"/>
    <cellStyle name="메모 14 3" xfId="2504"/>
    <cellStyle name="메모 15" xfId="2505"/>
    <cellStyle name="메모 15 2" xfId="2506"/>
    <cellStyle name="메모 15 3" xfId="2507"/>
    <cellStyle name="메모 2" xfId="25"/>
    <cellStyle name="메모 2 10" xfId="2509"/>
    <cellStyle name="메모 2 11" xfId="2510"/>
    <cellStyle name="메모 2 12" xfId="2511"/>
    <cellStyle name="메모 2 13" xfId="2512"/>
    <cellStyle name="메모 2 14" xfId="2513"/>
    <cellStyle name="메모 2 15" xfId="2508"/>
    <cellStyle name="메모 2 2" xfId="26"/>
    <cellStyle name="메모 2 2 2" xfId="27"/>
    <cellStyle name="메모 2 2 2 2" xfId="28"/>
    <cellStyle name="메모 2 2 2 3" xfId="29"/>
    <cellStyle name="메모 2 2 2 3 2" xfId="30"/>
    <cellStyle name="메모 2 2 2 4" xfId="31"/>
    <cellStyle name="메모 2 2 3" xfId="32"/>
    <cellStyle name="메모 2 2 4" xfId="33"/>
    <cellStyle name="메모 2 2 4 2" xfId="34"/>
    <cellStyle name="메모 2 2 5" xfId="35"/>
    <cellStyle name="메모 2 2 5 2" xfId="36"/>
    <cellStyle name="메모 2 2 6" xfId="37"/>
    <cellStyle name="메모 2 2 7" xfId="2514"/>
    <cellStyle name="메모 2 3" xfId="38"/>
    <cellStyle name="메모 2 3 2" xfId="39"/>
    <cellStyle name="메모 2 3 2 2" xfId="40"/>
    <cellStyle name="메모 2 3 2 3" xfId="41"/>
    <cellStyle name="메모 2 3 2 3 2" xfId="42"/>
    <cellStyle name="메모 2 3 2 4" xfId="43"/>
    <cellStyle name="메모 2 3 3" xfId="44"/>
    <cellStyle name="메모 2 3 4" xfId="45"/>
    <cellStyle name="메모 2 3 4 2" xfId="46"/>
    <cellStyle name="메모 2 3 5" xfId="47"/>
    <cellStyle name="메모 2 3 5 2" xfId="48"/>
    <cellStyle name="메모 2 3 6" xfId="49"/>
    <cellStyle name="메모 2 3 7" xfId="2515"/>
    <cellStyle name="메모 2 4" xfId="50"/>
    <cellStyle name="메모 2 4 2" xfId="51"/>
    <cellStyle name="메모 2 4 2 2" xfId="52"/>
    <cellStyle name="메모 2 4 2 3" xfId="53"/>
    <cellStyle name="메모 2 4 2 3 2" xfId="54"/>
    <cellStyle name="메모 2 4 2 4" xfId="55"/>
    <cellStyle name="메모 2 4 3" xfId="56"/>
    <cellStyle name="메모 2 4 4" xfId="57"/>
    <cellStyle name="메모 2 4 4 2" xfId="58"/>
    <cellStyle name="메모 2 4 5" xfId="59"/>
    <cellStyle name="메모 2 4 5 2" xfId="60"/>
    <cellStyle name="메모 2 4 6" xfId="61"/>
    <cellStyle name="메모 2 4 7" xfId="2516"/>
    <cellStyle name="메모 2 5" xfId="62"/>
    <cellStyle name="메모 2 5 2" xfId="63"/>
    <cellStyle name="메모 2 5 3" xfId="64"/>
    <cellStyle name="메모 2 5 3 2" xfId="65"/>
    <cellStyle name="메모 2 5 4" xfId="66"/>
    <cellStyle name="메모 2 5 5" xfId="2517"/>
    <cellStyle name="메모 2 6" xfId="67"/>
    <cellStyle name="메모 2 6 2" xfId="2518"/>
    <cellStyle name="메모 2 7" xfId="68"/>
    <cellStyle name="메모 2 7 2" xfId="69"/>
    <cellStyle name="메모 2 7 3" xfId="2519"/>
    <cellStyle name="메모 2 8" xfId="70"/>
    <cellStyle name="메모 2 8 2" xfId="71"/>
    <cellStyle name="메모 2 8 3" xfId="2520"/>
    <cellStyle name="메모 2 9" xfId="72"/>
    <cellStyle name="메모 2 9 2" xfId="2521"/>
    <cellStyle name="메모 3" xfId="2522"/>
    <cellStyle name="메모 3 10" xfId="2523"/>
    <cellStyle name="메모 3 2" xfId="2524"/>
    <cellStyle name="메모 3 2 2" xfId="2525"/>
    <cellStyle name="메모 3 2 3" xfId="2526"/>
    <cellStyle name="메모 3 2 4" xfId="2527"/>
    <cellStyle name="메모 3 3" xfId="2528"/>
    <cellStyle name="메모 3 4" xfId="2529"/>
    <cellStyle name="메모 3 5" xfId="2530"/>
    <cellStyle name="메모 3 6" xfId="2531"/>
    <cellStyle name="메모 3 7" xfId="2532"/>
    <cellStyle name="메모 3 8" xfId="2533"/>
    <cellStyle name="메모 3 9" xfId="2534"/>
    <cellStyle name="메모 4" xfId="2535"/>
    <cellStyle name="메모 4 2" xfId="2536"/>
    <cellStyle name="메모 4 3" xfId="2537"/>
    <cellStyle name="메모 4 4" xfId="2538"/>
    <cellStyle name="메모 5" xfId="2539"/>
    <cellStyle name="메모 5 10" xfId="2540"/>
    <cellStyle name="메모 5 11" xfId="2541"/>
    <cellStyle name="메모 5 12" xfId="2542"/>
    <cellStyle name="메모 5 13" xfId="2543"/>
    <cellStyle name="메모 5 14" xfId="2544"/>
    <cellStyle name="메모 5 2" xfId="2545"/>
    <cellStyle name="메모 5 3" xfId="2546"/>
    <cellStyle name="메모 5 4" xfId="2547"/>
    <cellStyle name="메모 5 5" xfId="2548"/>
    <cellStyle name="메모 5 6" xfId="2549"/>
    <cellStyle name="메모 5 7" xfId="2550"/>
    <cellStyle name="메모 5 8" xfId="2551"/>
    <cellStyle name="메모 5 9" xfId="2552"/>
    <cellStyle name="메모 6" xfId="2553"/>
    <cellStyle name="메모 6 2" xfId="2554"/>
    <cellStyle name="메모 6 3" xfId="2555"/>
    <cellStyle name="메모 6 4" xfId="2556"/>
    <cellStyle name="메모 6 5" xfId="2557"/>
    <cellStyle name="메모 7" xfId="2558"/>
    <cellStyle name="메모 7 2" xfId="2559"/>
    <cellStyle name="메모 8" xfId="2560"/>
    <cellStyle name="메모 8 2" xfId="2561"/>
    <cellStyle name="메모 9" xfId="2562"/>
    <cellStyle name="메모 9 2" xfId="2563"/>
    <cellStyle name="보통 10" xfId="2564"/>
    <cellStyle name="보통 10 2" xfId="2565"/>
    <cellStyle name="보통 11" xfId="2566"/>
    <cellStyle name="보통 11 2" xfId="2567"/>
    <cellStyle name="보통 12" xfId="2568"/>
    <cellStyle name="보통 12 2" xfId="2569"/>
    <cellStyle name="보통 13" xfId="2570"/>
    <cellStyle name="보통 13 2" xfId="2571"/>
    <cellStyle name="보통 14" xfId="2572"/>
    <cellStyle name="보통 15" xfId="2573"/>
    <cellStyle name="보통 2" xfId="2574"/>
    <cellStyle name="보통 2 10" xfId="2575"/>
    <cellStyle name="보통 2 11" xfId="2576"/>
    <cellStyle name="보통 2 12" xfId="2577"/>
    <cellStyle name="보통 2 13" xfId="2578"/>
    <cellStyle name="보통 2 14" xfId="2579"/>
    <cellStyle name="보통 2 2" xfId="2580"/>
    <cellStyle name="보통 2 3" xfId="2581"/>
    <cellStyle name="보통 2 4" xfId="2582"/>
    <cellStyle name="보통 2 5" xfId="2583"/>
    <cellStyle name="보통 2 6" xfId="2584"/>
    <cellStyle name="보통 2 7" xfId="2585"/>
    <cellStyle name="보통 2 8" xfId="2586"/>
    <cellStyle name="보통 2 9" xfId="2587"/>
    <cellStyle name="보통 3" xfId="2588"/>
    <cellStyle name="보통 3 10" xfId="2589"/>
    <cellStyle name="보통 3 2" xfId="2590"/>
    <cellStyle name="보통 3 2 2" xfId="2591"/>
    <cellStyle name="보통 3 2 3" xfId="2592"/>
    <cellStyle name="보통 3 2 4" xfId="2593"/>
    <cellStyle name="보통 3 3" xfId="2594"/>
    <cellStyle name="보통 3 4" xfId="2595"/>
    <cellStyle name="보통 3 5" xfId="2596"/>
    <cellStyle name="보통 3 6" xfId="2597"/>
    <cellStyle name="보통 3 7" xfId="2598"/>
    <cellStyle name="보통 3 8" xfId="2599"/>
    <cellStyle name="보통 3 9" xfId="2600"/>
    <cellStyle name="보통 4" xfId="2601"/>
    <cellStyle name="보통 4 2" xfId="2602"/>
    <cellStyle name="보통 4 3" xfId="2603"/>
    <cellStyle name="보통 4 4" xfId="2604"/>
    <cellStyle name="보통 5" xfId="2605"/>
    <cellStyle name="보통 5 10" xfId="2606"/>
    <cellStyle name="보통 5 11" xfId="2607"/>
    <cellStyle name="보통 5 12" xfId="2608"/>
    <cellStyle name="보통 5 13" xfId="2609"/>
    <cellStyle name="보통 5 14" xfId="2610"/>
    <cellStyle name="보통 5 2" xfId="2611"/>
    <cellStyle name="보통 5 3" xfId="2612"/>
    <cellStyle name="보통 5 4" xfId="2613"/>
    <cellStyle name="보통 5 5" xfId="2614"/>
    <cellStyle name="보통 5 6" xfId="2615"/>
    <cellStyle name="보통 5 7" xfId="2616"/>
    <cellStyle name="보통 5 8" xfId="2617"/>
    <cellStyle name="보통 5 9" xfId="2618"/>
    <cellStyle name="보통 6" xfId="2619"/>
    <cellStyle name="보통 6 2" xfId="2620"/>
    <cellStyle name="보통 6 3" xfId="2621"/>
    <cellStyle name="보통 6 4" xfId="2622"/>
    <cellStyle name="보통 6 5" xfId="2623"/>
    <cellStyle name="보통 7" xfId="2624"/>
    <cellStyle name="보통 7 2" xfId="2625"/>
    <cellStyle name="보통 8" xfId="2626"/>
    <cellStyle name="보통 8 2" xfId="2627"/>
    <cellStyle name="보통 9" xfId="2628"/>
    <cellStyle name="보통 9 2" xfId="2629"/>
    <cellStyle name="설명 텍스트 10" xfId="2630"/>
    <cellStyle name="설명 텍스트 10 2" xfId="2631"/>
    <cellStyle name="설명 텍스트 11" xfId="2632"/>
    <cellStyle name="설명 텍스트 11 2" xfId="2633"/>
    <cellStyle name="설명 텍스트 12" xfId="2634"/>
    <cellStyle name="설명 텍스트 12 2" xfId="2635"/>
    <cellStyle name="설명 텍스트 13" xfId="2636"/>
    <cellStyle name="설명 텍스트 13 2" xfId="2637"/>
    <cellStyle name="설명 텍스트 14" xfId="2638"/>
    <cellStyle name="설명 텍스트 15" xfId="2639"/>
    <cellStyle name="설명 텍스트 2" xfId="2640"/>
    <cellStyle name="설명 텍스트 2 10" xfId="2641"/>
    <cellStyle name="설명 텍스트 2 11" xfId="2642"/>
    <cellStyle name="설명 텍스트 2 12" xfId="2643"/>
    <cellStyle name="설명 텍스트 2 13" xfId="2644"/>
    <cellStyle name="설명 텍스트 2 14" xfId="2645"/>
    <cellStyle name="설명 텍스트 2 2" xfId="2646"/>
    <cellStyle name="설명 텍스트 2 3" xfId="2647"/>
    <cellStyle name="설명 텍스트 2 4" xfId="2648"/>
    <cellStyle name="설명 텍스트 2 5" xfId="2649"/>
    <cellStyle name="설명 텍스트 2 6" xfId="2650"/>
    <cellStyle name="설명 텍스트 2 7" xfId="2651"/>
    <cellStyle name="설명 텍스트 2 8" xfId="2652"/>
    <cellStyle name="설명 텍스트 2 9" xfId="2653"/>
    <cellStyle name="설명 텍스트 3" xfId="2654"/>
    <cellStyle name="설명 텍스트 3 10" xfId="2655"/>
    <cellStyle name="설명 텍스트 3 2" xfId="2656"/>
    <cellStyle name="설명 텍스트 3 2 2" xfId="2657"/>
    <cellStyle name="설명 텍스트 3 2 3" xfId="2658"/>
    <cellStyle name="설명 텍스트 3 2 4" xfId="2659"/>
    <cellStyle name="설명 텍스트 3 3" xfId="2660"/>
    <cellStyle name="설명 텍스트 3 4" xfId="2661"/>
    <cellStyle name="설명 텍스트 3 5" xfId="2662"/>
    <cellStyle name="설명 텍스트 3 6" xfId="2663"/>
    <cellStyle name="설명 텍스트 3 7" xfId="2664"/>
    <cellStyle name="설명 텍스트 3 8" xfId="2665"/>
    <cellStyle name="설명 텍스트 3 9" xfId="2666"/>
    <cellStyle name="설명 텍스트 4" xfId="2667"/>
    <cellStyle name="설명 텍스트 4 2" xfId="2668"/>
    <cellStyle name="설명 텍스트 4 3" xfId="2669"/>
    <cellStyle name="설명 텍스트 4 4" xfId="2670"/>
    <cellStyle name="설명 텍스트 5" xfId="2671"/>
    <cellStyle name="설명 텍스트 5 10" xfId="2672"/>
    <cellStyle name="설명 텍스트 5 11" xfId="2673"/>
    <cellStyle name="설명 텍스트 5 12" xfId="2674"/>
    <cellStyle name="설명 텍스트 5 13" xfId="2675"/>
    <cellStyle name="설명 텍스트 5 14" xfId="2676"/>
    <cellStyle name="설명 텍스트 5 2" xfId="2677"/>
    <cellStyle name="설명 텍스트 5 3" xfId="2678"/>
    <cellStyle name="설명 텍스트 5 4" xfId="2679"/>
    <cellStyle name="설명 텍스트 5 5" xfId="2680"/>
    <cellStyle name="설명 텍스트 5 6" xfId="2681"/>
    <cellStyle name="설명 텍스트 5 7" xfId="2682"/>
    <cellStyle name="설명 텍스트 5 8" xfId="2683"/>
    <cellStyle name="설명 텍스트 5 9" xfId="2684"/>
    <cellStyle name="설명 텍스트 6" xfId="2685"/>
    <cellStyle name="설명 텍스트 6 2" xfId="2686"/>
    <cellStyle name="설명 텍스트 6 3" xfId="2687"/>
    <cellStyle name="설명 텍스트 6 4" xfId="2688"/>
    <cellStyle name="설명 텍스트 6 5" xfId="2689"/>
    <cellStyle name="설명 텍스트 7" xfId="2690"/>
    <cellStyle name="설명 텍스트 7 2" xfId="2691"/>
    <cellStyle name="설명 텍스트 8" xfId="2692"/>
    <cellStyle name="설명 텍스트 8 2" xfId="2693"/>
    <cellStyle name="설명 텍스트 9" xfId="2694"/>
    <cellStyle name="설명 텍스트 9 2" xfId="2695"/>
    <cellStyle name="셀 확인 10" xfId="2696"/>
    <cellStyle name="셀 확인 11" xfId="2697"/>
    <cellStyle name="셀 확인 12" xfId="2698"/>
    <cellStyle name="셀 확인 13" xfId="2699"/>
    <cellStyle name="셀 확인 14" xfId="2700"/>
    <cellStyle name="셀 확인 2" xfId="2701"/>
    <cellStyle name="셀 확인 2 10" xfId="2702"/>
    <cellStyle name="셀 확인 2 11" xfId="2703"/>
    <cellStyle name="셀 확인 2 12" xfId="2704"/>
    <cellStyle name="셀 확인 2 13" xfId="2705"/>
    <cellStyle name="셀 확인 2 14" xfId="2706"/>
    <cellStyle name="셀 확인 2 2" xfId="2707"/>
    <cellStyle name="셀 확인 2 3" xfId="2708"/>
    <cellStyle name="셀 확인 2 4" xfId="2709"/>
    <cellStyle name="셀 확인 2 5" xfId="2710"/>
    <cellStyle name="셀 확인 2 6" xfId="2711"/>
    <cellStyle name="셀 확인 2 7" xfId="2712"/>
    <cellStyle name="셀 확인 2 8" xfId="2713"/>
    <cellStyle name="셀 확인 2 9" xfId="2714"/>
    <cellStyle name="셀 확인 29" xfId="2715"/>
    <cellStyle name="셀 확인 29 2" xfId="2716"/>
    <cellStyle name="셀 확인 3" xfId="2717"/>
    <cellStyle name="셀 확인 3 10" xfId="2718"/>
    <cellStyle name="셀 확인 3 2" xfId="2719"/>
    <cellStyle name="셀 확인 3 2 2" xfId="2720"/>
    <cellStyle name="셀 확인 3 2 3" xfId="2721"/>
    <cellStyle name="셀 확인 3 2 4" xfId="2722"/>
    <cellStyle name="셀 확인 3 3" xfId="2723"/>
    <cellStyle name="셀 확인 3 4" xfId="2724"/>
    <cellStyle name="셀 확인 3 5" xfId="2725"/>
    <cellStyle name="셀 확인 3 6" xfId="2726"/>
    <cellStyle name="셀 확인 3 7" xfId="2727"/>
    <cellStyle name="셀 확인 3 8" xfId="2728"/>
    <cellStyle name="셀 확인 3 9" xfId="2729"/>
    <cellStyle name="셀 확인 30" xfId="2730"/>
    <cellStyle name="셀 확인 30 2" xfId="2731"/>
    <cellStyle name="셀 확인 31" xfId="2732"/>
    <cellStyle name="셀 확인 31 2" xfId="2733"/>
    <cellStyle name="셀 확인 32" xfId="2734"/>
    <cellStyle name="셀 확인 32 2" xfId="2735"/>
    <cellStyle name="셀 확인 33" xfId="2736"/>
    <cellStyle name="셀 확인 33 2" xfId="2737"/>
    <cellStyle name="셀 확인 34" xfId="2738"/>
    <cellStyle name="셀 확인 34 2" xfId="2739"/>
    <cellStyle name="셀 확인 35" xfId="2740"/>
    <cellStyle name="셀 확인 35 2" xfId="2741"/>
    <cellStyle name="셀 확인 36" xfId="2742"/>
    <cellStyle name="셀 확인 36 2" xfId="2743"/>
    <cellStyle name="셀 확인 37" xfId="2744"/>
    <cellStyle name="셀 확인 37 2" xfId="2745"/>
    <cellStyle name="셀 확인 4" xfId="2746"/>
    <cellStyle name="셀 확인 4 2" xfId="2747"/>
    <cellStyle name="셀 확인 4 3" xfId="2748"/>
    <cellStyle name="셀 확인 4 4" xfId="2749"/>
    <cellStyle name="셀 확인 5" xfId="2750"/>
    <cellStyle name="셀 확인 5 10" xfId="2751"/>
    <cellStyle name="셀 확인 5 11" xfId="2752"/>
    <cellStyle name="셀 확인 5 12" xfId="2753"/>
    <cellStyle name="셀 확인 5 13" xfId="2754"/>
    <cellStyle name="셀 확인 5 2" xfId="2755"/>
    <cellStyle name="셀 확인 5 3" xfId="2756"/>
    <cellStyle name="셀 확인 5 4" xfId="2757"/>
    <cellStyle name="셀 확인 5 5" xfId="2758"/>
    <cellStyle name="셀 확인 5 6" xfId="2759"/>
    <cellStyle name="셀 확인 5 7" xfId="2760"/>
    <cellStyle name="셀 확인 5 8" xfId="2761"/>
    <cellStyle name="셀 확인 5 9" xfId="2762"/>
    <cellStyle name="셀 확인 6" xfId="2763"/>
    <cellStyle name="셀 확인 6 2" xfId="2764"/>
    <cellStyle name="셀 확인 6 3" xfId="2765"/>
    <cellStyle name="셀 확인 6 4" xfId="2766"/>
    <cellStyle name="셀 확인 6 5" xfId="2767"/>
    <cellStyle name="셀 확인 7" xfId="2768"/>
    <cellStyle name="셀 확인 8" xfId="2769"/>
    <cellStyle name="셀 확인 9" xfId="2770"/>
    <cellStyle name="연결된 셀 10" xfId="2771"/>
    <cellStyle name="연결된 셀 10 2" xfId="2772"/>
    <cellStyle name="연결된 셀 11" xfId="2773"/>
    <cellStyle name="연결된 셀 11 2" xfId="2774"/>
    <cellStyle name="연결된 셀 12" xfId="2775"/>
    <cellStyle name="연결된 셀 12 2" xfId="2776"/>
    <cellStyle name="연결된 셀 13" xfId="2777"/>
    <cellStyle name="연결된 셀 13 2" xfId="2778"/>
    <cellStyle name="연결된 셀 14" xfId="2779"/>
    <cellStyle name="연결된 셀 15" xfId="2780"/>
    <cellStyle name="연결된 셀 2" xfId="2781"/>
    <cellStyle name="연결된 셀 2 10" xfId="2782"/>
    <cellStyle name="연결된 셀 2 11" xfId="2783"/>
    <cellStyle name="연결된 셀 2 12" xfId="2784"/>
    <cellStyle name="연결된 셀 2 13" xfId="2785"/>
    <cellStyle name="연결된 셀 2 14" xfId="2786"/>
    <cellStyle name="연결된 셀 2 2" xfId="2787"/>
    <cellStyle name="연결된 셀 2 3" xfId="2788"/>
    <cellStyle name="연결된 셀 2 4" xfId="2789"/>
    <cellStyle name="연결된 셀 2 5" xfId="2790"/>
    <cellStyle name="연결된 셀 2 6" xfId="2791"/>
    <cellStyle name="연결된 셀 2 7" xfId="2792"/>
    <cellStyle name="연결된 셀 2 8" xfId="2793"/>
    <cellStyle name="연결된 셀 2 9" xfId="2794"/>
    <cellStyle name="연결된 셀 3" xfId="2795"/>
    <cellStyle name="연결된 셀 3 10" xfId="2796"/>
    <cellStyle name="연결된 셀 3 2" xfId="2797"/>
    <cellStyle name="연결된 셀 3 2 2" xfId="2798"/>
    <cellStyle name="연결된 셀 3 2 3" xfId="2799"/>
    <cellStyle name="연결된 셀 3 2 4" xfId="2800"/>
    <cellStyle name="연결된 셀 3 3" xfId="2801"/>
    <cellStyle name="연결된 셀 3 4" xfId="2802"/>
    <cellStyle name="연결된 셀 3 5" xfId="2803"/>
    <cellStyle name="연결된 셀 3 6" xfId="2804"/>
    <cellStyle name="연결된 셀 3 7" xfId="2805"/>
    <cellStyle name="연결된 셀 3 8" xfId="2806"/>
    <cellStyle name="연결된 셀 3 9" xfId="2807"/>
    <cellStyle name="연결된 셀 4" xfId="2808"/>
    <cellStyle name="연결된 셀 4 2" xfId="2809"/>
    <cellStyle name="연결된 셀 4 3" xfId="2810"/>
    <cellStyle name="연결된 셀 4 4" xfId="2811"/>
    <cellStyle name="연결된 셀 5" xfId="2812"/>
    <cellStyle name="연결된 셀 5 10" xfId="2813"/>
    <cellStyle name="연결된 셀 5 11" xfId="2814"/>
    <cellStyle name="연결된 셀 5 12" xfId="2815"/>
    <cellStyle name="연결된 셀 5 13" xfId="2816"/>
    <cellStyle name="연결된 셀 5 14" xfId="2817"/>
    <cellStyle name="연결된 셀 5 2" xfId="2818"/>
    <cellStyle name="연결된 셀 5 3" xfId="2819"/>
    <cellStyle name="연결된 셀 5 4" xfId="2820"/>
    <cellStyle name="연결된 셀 5 5" xfId="2821"/>
    <cellStyle name="연결된 셀 5 6" xfId="2822"/>
    <cellStyle name="연결된 셀 5 7" xfId="2823"/>
    <cellStyle name="연결된 셀 5 8" xfId="2824"/>
    <cellStyle name="연결된 셀 5 9" xfId="2825"/>
    <cellStyle name="연결된 셀 6" xfId="2826"/>
    <cellStyle name="연결된 셀 6 2" xfId="2827"/>
    <cellStyle name="연결된 셀 6 3" xfId="2828"/>
    <cellStyle name="연결된 셀 6 4" xfId="2829"/>
    <cellStyle name="연결된 셀 6 5" xfId="2830"/>
    <cellStyle name="연결된 셀 7" xfId="2831"/>
    <cellStyle name="연결된 셀 7 2" xfId="2832"/>
    <cellStyle name="연결된 셀 8" xfId="2833"/>
    <cellStyle name="연결된 셀 8 2" xfId="2834"/>
    <cellStyle name="연결된 셀 9" xfId="2835"/>
    <cellStyle name="연결된 셀 9 2" xfId="2836"/>
    <cellStyle name="요약 10" xfId="2837"/>
    <cellStyle name="요약 10 2" xfId="2838"/>
    <cellStyle name="요약 11" xfId="2839"/>
    <cellStyle name="요약 11 2" xfId="2840"/>
    <cellStyle name="요약 12" xfId="2841"/>
    <cellStyle name="요약 12 2" xfId="2842"/>
    <cellStyle name="요약 13" xfId="2843"/>
    <cellStyle name="요약 13 2" xfId="2844"/>
    <cellStyle name="요약 14" xfId="2845"/>
    <cellStyle name="요약 15" xfId="2846"/>
    <cellStyle name="요약 2" xfId="2847"/>
    <cellStyle name="요약 2 10" xfId="2848"/>
    <cellStyle name="요약 2 11" xfId="2849"/>
    <cellStyle name="요약 2 12" xfId="2850"/>
    <cellStyle name="요약 2 13" xfId="2851"/>
    <cellStyle name="요약 2 14" xfId="2852"/>
    <cellStyle name="요약 2 2" xfId="2853"/>
    <cellStyle name="요약 2 3" xfId="2854"/>
    <cellStyle name="요약 2 4" xfId="2855"/>
    <cellStyle name="요약 2 5" xfId="2856"/>
    <cellStyle name="요약 2 6" xfId="2857"/>
    <cellStyle name="요약 2 7" xfId="2858"/>
    <cellStyle name="요약 2 8" xfId="2859"/>
    <cellStyle name="요약 2 9" xfId="2860"/>
    <cellStyle name="요약 3" xfId="2861"/>
    <cellStyle name="요약 3 10" xfId="2862"/>
    <cellStyle name="요약 3 2" xfId="2863"/>
    <cellStyle name="요약 3 2 2" xfId="2864"/>
    <cellStyle name="요약 3 2 3" xfId="2865"/>
    <cellStyle name="요약 3 2 4" xfId="2866"/>
    <cellStyle name="요약 3 3" xfId="2867"/>
    <cellStyle name="요약 3 4" xfId="2868"/>
    <cellStyle name="요약 3 5" xfId="2869"/>
    <cellStyle name="요약 3 6" xfId="2870"/>
    <cellStyle name="요약 3 7" xfId="2871"/>
    <cellStyle name="요약 3 8" xfId="2872"/>
    <cellStyle name="요약 3 9" xfId="2873"/>
    <cellStyle name="요약 4" xfId="2874"/>
    <cellStyle name="요약 4 2" xfId="2875"/>
    <cellStyle name="요약 4 3" xfId="2876"/>
    <cellStyle name="요약 4 4" xfId="2877"/>
    <cellStyle name="요약 5" xfId="2878"/>
    <cellStyle name="요약 5 10" xfId="2879"/>
    <cellStyle name="요약 5 11" xfId="2880"/>
    <cellStyle name="요약 5 12" xfId="2881"/>
    <cellStyle name="요약 5 13" xfId="2882"/>
    <cellStyle name="요약 5 14" xfId="2883"/>
    <cellStyle name="요약 5 2" xfId="2884"/>
    <cellStyle name="요약 5 3" xfId="2885"/>
    <cellStyle name="요약 5 4" xfId="2886"/>
    <cellStyle name="요약 5 5" xfId="2887"/>
    <cellStyle name="요약 5 6" xfId="2888"/>
    <cellStyle name="요약 5 7" xfId="2889"/>
    <cellStyle name="요약 5 8" xfId="2890"/>
    <cellStyle name="요약 5 9" xfId="2891"/>
    <cellStyle name="요약 6" xfId="2892"/>
    <cellStyle name="요약 6 2" xfId="2893"/>
    <cellStyle name="요약 6 3" xfId="2894"/>
    <cellStyle name="요약 6 4" xfId="2895"/>
    <cellStyle name="요약 6 5" xfId="2896"/>
    <cellStyle name="요약 7" xfId="2897"/>
    <cellStyle name="요약 7 2" xfId="2898"/>
    <cellStyle name="요약 8" xfId="2899"/>
    <cellStyle name="요약 8 2" xfId="2900"/>
    <cellStyle name="요약 9" xfId="2901"/>
    <cellStyle name="요약 9 2" xfId="2902"/>
    <cellStyle name="입력 10" xfId="2903"/>
    <cellStyle name="입력 10 2" xfId="2904"/>
    <cellStyle name="입력 11" xfId="2905"/>
    <cellStyle name="입력 11 2" xfId="2906"/>
    <cellStyle name="입력 12" xfId="2907"/>
    <cellStyle name="입력 12 2" xfId="2908"/>
    <cellStyle name="입력 13" xfId="2909"/>
    <cellStyle name="입력 13 2" xfId="2910"/>
    <cellStyle name="입력 14" xfId="2911"/>
    <cellStyle name="입력 15" xfId="2912"/>
    <cellStyle name="입력 2" xfId="2913"/>
    <cellStyle name="입력 2 10" xfId="2914"/>
    <cellStyle name="입력 2 11" xfId="2915"/>
    <cellStyle name="입력 2 12" xfId="2916"/>
    <cellStyle name="입력 2 13" xfId="2917"/>
    <cellStyle name="입력 2 14" xfId="2918"/>
    <cellStyle name="입력 2 2" xfId="2919"/>
    <cellStyle name="입력 2 3" xfId="2920"/>
    <cellStyle name="입력 2 4" xfId="2921"/>
    <cellStyle name="입력 2 5" xfId="2922"/>
    <cellStyle name="입력 2 6" xfId="2923"/>
    <cellStyle name="입력 2 7" xfId="2924"/>
    <cellStyle name="입력 2 8" xfId="2925"/>
    <cellStyle name="입력 2 9" xfId="2926"/>
    <cellStyle name="입력 3" xfId="2927"/>
    <cellStyle name="입력 3 10" xfId="2928"/>
    <cellStyle name="입력 3 2" xfId="2929"/>
    <cellStyle name="입력 3 2 2" xfId="2930"/>
    <cellStyle name="입력 3 2 3" xfId="2931"/>
    <cellStyle name="입력 3 2 4" xfId="2932"/>
    <cellStyle name="입력 3 3" xfId="2933"/>
    <cellStyle name="입력 3 4" xfId="2934"/>
    <cellStyle name="입력 3 5" xfId="2935"/>
    <cellStyle name="입력 3 6" xfId="2936"/>
    <cellStyle name="입력 3 7" xfId="2937"/>
    <cellStyle name="입력 3 8" xfId="2938"/>
    <cellStyle name="입력 3 9" xfId="2939"/>
    <cellStyle name="입력 4" xfId="2940"/>
    <cellStyle name="입력 4 2" xfId="2941"/>
    <cellStyle name="입력 4 3" xfId="2942"/>
    <cellStyle name="입력 4 4" xfId="2943"/>
    <cellStyle name="입력 5" xfId="2944"/>
    <cellStyle name="입력 5 10" xfId="2945"/>
    <cellStyle name="입력 5 11" xfId="2946"/>
    <cellStyle name="입력 5 12" xfId="2947"/>
    <cellStyle name="입력 5 13" xfId="2948"/>
    <cellStyle name="입력 5 14" xfId="2949"/>
    <cellStyle name="입력 5 2" xfId="2950"/>
    <cellStyle name="입력 5 3" xfId="2951"/>
    <cellStyle name="입력 5 4" xfId="2952"/>
    <cellStyle name="입력 5 5" xfId="2953"/>
    <cellStyle name="입력 5 6" xfId="2954"/>
    <cellStyle name="입력 5 7" xfId="2955"/>
    <cellStyle name="입력 5 8" xfId="2956"/>
    <cellStyle name="입력 5 9" xfId="2957"/>
    <cellStyle name="입력 6" xfId="2958"/>
    <cellStyle name="입력 6 2" xfId="2959"/>
    <cellStyle name="입력 6 3" xfId="2960"/>
    <cellStyle name="입력 6 4" xfId="2961"/>
    <cellStyle name="입력 6 5" xfId="2962"/>
    <cellStyle name="입력 7" xfId="2963"/>
    <cellStyle name="입력 7 2" xfId="2964"/>
    <cellStyle name="입력 8" xfId="2965"/>
    <cellStyle name="입력 8 2" xfId="2966"/>
    <cellStyle name="입력 9" xfId="2967"/>
    <cellStyle name="입력 9 2" xfId="2968"/>
    <cellStyle name="제목 1 1" xfId="2969"/>
    <cellStyle name="제목 1 1 2" xfId="2970"/>
    <cellStyle name="제목 1 1 3" xfId="2971"/>
    <cellStyle name="제목 1 10" xfId="2972"/>
    <cellStyle name="제목 1 10 2" xfId="2973"/>
    <cellStyle name="제목 1 11" xfId="2974"/>
    <cellStyle name="제목 1 11 2" xfId="2975"/>
    <cellStyle name="제목 1 12" xfId="2976"/>
    <cellStyle name="제목 1 12 2" xfId="2977"/>
    <cellStyle name="제목 1 13" xfId="2978"/>
    <cellStyle name="제목 1 13 2" xfId="2979"/>
    <cellStyle name="제목 1 14" xfId="2980"/>
    <cellStyle name="제목 1 15" xfId="2981"/>
    <cellStyle name="제목 1 2" xfId="2982"/>
    <cellStyle name="제목 1 2 10" xfId="2983"/>
    <cellStyle name="제목 1 2 11" xfId="2984"/>
    <cellStyle name="제목 1 2 12" xfId="2985"/>
    <cellStyle name="제목 1 2 13" xfId="2986"/>
    <cellStyle name="제목 1 2 14" xfId="2987"/>
    <cellStyle name="제목 1 2 2" xfId="2988"/>
    <cellStyle name="제목 1 2 3" xfId="2989"/>
    <cellStyle name="제목 1 2 4" xfId="2990"/>
    <cellStyle name="제목 1 2 5" xfId="2991"/>
    <cellStyle name="제목 1 2 6" xfId="2992"/>
    <cellStyle name="제목 1 2 7" xfId="2993"/>
    <cellStyle name="제목 1 2 8" xfId="2994"/>
    <cellStyle name="제목 1 2 9" xfId="2995"/>
    <cellStyle name="제목 1 3" xfId="2996"/>
    <cellStyle name="제목 1 3 10" xfId="2997"/>
    <cellStyle name="제목 1 3 2" xfId="2998"/>
    <cellStyle name="제목 1 3 2 2" xfId="2999"/>
    <cellStyle name="제목 1 3 2 3" xfId="3000"/>
    <cellStyle name="제목 1 3 2 4" xfId="3001"/>
    <cellStyle name="제목 1 3 3" xfId="3002"/>
    <cellStyle name="제목 1 3 4" xfId="3003"/>
    <cellStyle name="제목 1 3 5" xfId="3004"/>
    <cellStyle name="제목 1 3 6" xfId="3005"/>
    <cellStyle name="제목 1 3 7" xfId="3006"/>
    <cellStyle name="제목 1 3 8" xfId="3007"/>
    <cellStyle name="제목 1 3 9" xfId="3008"/>
    <cellStyle name="제목 1 4" xfId="3009"/>
    <cellStyle name="제목 1 4 2" xfId="3010"/>
    <cellStyle name="제목 1 4 3" xfId="3011"/>
    <cellStyle name="제목 1 4 4" xfId="3012"/>
    <cellStyle name="제목 1 5" xfId="3013"/>
    <cellStyle name="제목 1 5 10" xfId="3014"/>
    <cellStyle name="제목 1 5 11" xfId="3015"/>
    <cellStyle name="제목 1 5 12" xfId="3016"/>
    <cellStyle name="제목 1 5 13" xfId="3017"/>
    <cellStyle name="제목 1 5 14" xfId="3018"/>
    <cellStyle name="제목 1 5 2" xfId="3019"/>
    <cellStyle name="제목 1 5 3" xfId="3020"/>
    <cellStyle name="제목 1 5 4" xfId="3021"/>
    <cellStyle name="제목 1 5 5" xfId="3022"/>
    <cellStyle name="제목 1 5 6" xfId="3023"/>
    <cellStyle name="제목 1 5 7" xfId="3024"/>
    <cellStyle name="제목 1 5 8" xfId="3025"/>
    <cellStyle name="제목 1 5 9" xfId="3026"/>
    <cellStyle name="제목 1 6" xfId="3027"/>
    <cellStyle name="제목 1 6 2" xfId="3028"/>
    <cellStyle name="제목 1 6 3" xfId="3029"/>
    <cellStyle name="제목 1 6 4" xfId="3030"/>
    <cellStyle name="제목 1 6 5" xfId="3031"/>
    <cellStyle name="제목 1 7" xfId="3032"/>
    <cellStyle name="제목 1 7 2" xfId="3033"/>
    <cellStyle name="제목 1 8" xfId="3034"/>
    <cellStyle name="제목 1 8 2" xfId="3035"/>
    <cellStyle name="제목 1 9" xfId="3036"/>
    <cellStyle name="제목 1 9 2" xfId="3037"/>
    <cellStyle name="제목 10" xfId="3038"/>
    <cellStyle name="제목 10 2" xfId="3039"/>
    <cellStyle name="제목 11" xfId="3040"/>
    <cellStyle name="제목 11 2" xfId="3041"/>
    <cellStyle name="제목 12" xfId="3042"/>
    <cellStyle name="제목 12 2" xfId="3043"/>
    <cellStyle name="제목 13" xfId="3044"/>
    <cellStyle name="제목 13 2" xfId="3045"/>
    <cellStyle name="제목 14" xfId="3046"/>
    <cellStyle name="제목 14 2" xfId="3047"/>
    <cellStyle name="제목 15" xfId="3048"/>
    <cellStyle name="제목 15 2" xfId="3049"/>
    <cellStyle name="제목 16" xfId="3050"/>
    <cellStyle name="제목 16 2" xfId="3051"/>
    <cellStyle name="제목 17" xfId="3052"/>
    <cellStyle name="제목 2 10" xfId="3053"/>
    <cellStyle name="제목 2 10 2" xfId="3054"/>
    <cellStyle name="제목 2 11" xfId="3055"/>
    <cellStyle name="제목 2 11 2" xfId="3056"/>
    <cellStyle name="제목 2 12" xfId="3057"/>
    <cellStyle name="제목 2 12 2" xfId="3058"/>
    <cellStyle name="제목 2 13" xfId="3059"/>
    <cellStyle name="제목 2 13 2" xfId="3060"/>
    <cellStyle name="제목 2 14" xfId="3061"/>
    <cellStyle name="제목 2 15" xfId="3062"/>
    <cellStyle name="제목 2 2" xfId="3063"/>
    <cellStyle name="제목 2 2 10" xfId="3064"/>
    <cellStyle name="제목 2 2 11" xfId="3065"/>
    <cellStyle name="제목 2 2 12" xfId="3066"/>
    <cellStyle name="제목 2 2 13" xfId="3067"/>
    <cellStyle name="제목 2 2 14" xfId="3068"/>
    <cellStyle name="제목 2 2 2" xfId="3069"/>
    <cellStyle name="제목 2 2 3" xfId="3070"/>
    <cellStyle name="제목 2 2 4" xfId="3071"/>
    <cellStyle name="제목 2 2 5" xfId="3072"/>
    <cellStyle name="제목 2 2 6" xfId="3073"/>
    <cellStyle name="제목 2 2 7" xfId="3074"/>
    <cellStyle name="제목 2 2 8" xfId="3075"/>
    <cellStyle name="제목 2 2 9" xfId="3076"/>
    <cellStyle name="제목 2 3" xfId="3077"/>
    <cellStyle name="제목 2 3 10" xfId="3078"/>
    <cellStyle name="제목 2 3 2" xfId="3079"/>
    <cellStyle name="제목 2 3 2 2" xfId="3080"/>
    <cellStyle name="제목 2 3 2 3" xfId="3081"/>
    <cellStyle name="제목 2 3 2 4" xfId="3082"/>
    <cellStyle name="제목 2 3 3" xfId="3083"/>
    <cellStyle name="제목 2 3 4" xfId="3084"/>
    <cellStyle name="제목 2 3 5" xfId="3085"/>
    <cellStyle name="제목 2 3 6" xfId="3086"/>
    <cellStyle name="제목 2 3 7" xfId="3087"/>
    <cellStyle name="제목 2 3 8" xfId="3088"/>
    <cellStyle name="제목 2 3 9" xfId="3089"/>
    <cellStyle name="제목 2 4" xfId="3090"/>
    <cellStyle name="제목 2 4 2" xfId="3091"/>
    <cellStyle name="제목 2 4 3" xfId="3092"/>
    <cellStyle name="제목 2 4 4" xfId="3093"/>
    <cellStyle name="제목 2 5" xfId="3094"/>
    <cellStyle name="제목 2 5 10" xfId="3095"/>
    <cellStyle name="제목 2 5 11" xfId="3096"/>
    <cellStyle name="제목 2 5 12" xfId="3097"/>
    <cellStyle name="제목 2 5 13" xfId="3098"/>
    <cellStyle name="제목 2 5 14" xfId="3099"/>
    <cellStyle name="제목 2 5 2" xfId="3100"/>
    <cellStyle name="제목 2 5 3" xfId="3101"/>
    <cellStyle name="제목 2 5 4" xfId="3102"/>
    <cellStyle name="제목 2 5 5" xfId="3103"/>
    <cellStyle name="제목 2 5 6" xfId="3104"/>
    <cellStyle name="제목 2 5 7" xfId="3105"/>
    <cellStyle name="제목 2 5 8" xfId="3106"/>
    <cellStyle name="제목 2 5 9" xfId="3107"/>
    <cellStyle name="제목 2 6" xfId="3108"/>
    <cellStyle name="제목 2 6 2" xfId="3109"/>
    <cellStyle name="제목 2 6 3" xfId="3110"/>
    <cellStyle name="제목 2 6 4" xfId="3111"/>
    <cellStyle name="제목 2 6 5" xfId="3112"/>
    <cellStyle name="제목 2 7" xfId="3113"/>
    <cellStyle name="제목 2 7 2" xfId="3114"/>
    <cellStyle name="제목 2 8" xfId="3115"/>
    <cellStyle name="제목 2 8 2" xfId="3116"/>
    <cellStyle name="제목 2 9" xfId="3117"/>
    <cellStyle name="제목 2 9 2" xfId="3118"/>
    <cellStyle name="제목 3 10" xfId="3119"/>
    <cellStyle name="제목 3 10 2" xfId="3120"/>
    <cellStyle name="제목 3 11" xfId="3121"/>
    <cellStyle name="제목 3 11 2" xfId="3122"/>
    <cellStyle name="제목 3 12" xfId="3123"/>
    <cellStyle name="제목 3 12 2" xfId="3124"/>
    <cellStyle name="제목 3 13" xfId="3125"/>
    <cellStyle name="제목 3 13 2" xfId="3126"/>
    <cellStyle name="제목 3 14" xfId="3127"/>
    <cellStyle name="제목 3 15" xfId="3128"/>
    <cellStyle name="제목 3 2" xfId="3129"/>
    <cellStyle name="제목 3 2 10" xfId="3130"/>
    <cellStyle name="제목 3 2 11" xfId="3131"/>
    <cellStyle name="제목 3 2 12" xfId="3132"/>
    <cellStyle name="제목 3 2 13" xfId="3133"/>
    <cellStyle name="제목 3 2 14" xfId="3134"/>
    <cellStyle name="제목 3 2 2" xfId="3135"/>
    <cellStyle name="제목 3 2 3" xfId="3136"/>
    <cellStyle name="제목 3 2 4" xfId="3137"/>
    <cellStyle name="제목 3 2 5" xfId="3138"/>
    <cellStyle name="제목 3 2 6" xfId="3139"/>
    <cellStyle name="제목 3 2 7" xfId="3140"/>
    <cellStyle name="제목 3 2 8" xfId="3141"/>
    <cellStyle name="제목 3 2 9" xfId="3142"/>
    <cellStyle name="제목 3 3" xfId="3143"/>
    <cellStyle name="제목 3 3 10" xfId="3144"/>
    <cellStyle name="제목 3 3 2" xfId="3145"/>
    <cellStyle name="제목 3 3 2 2" xfId="3146"/>
    <cellStyle name="제목 3 3 2 3" xfId="3147"/>
    <cellStyle name="제목 3 3 2 4" xfId="3148"/>
    <cellStyle name="제목 3 3 3" xfId="3149"/>
    <cellStyle name="제목 3 3 4" xfId="3150"/>
    <cellStyle name="제목 3 3 5" xfId="3151"/>
    <cellStyle name="제목 3 3 6" xfId="3152"/>
    <cellStyle name="제목 3 3 7" xfId="3153"/>
    <cellStyle name="제목 3 3 8" xfId="3154"/>
    <cellStyle name="제목 3 3 9" xfId="3155"/>
    <cellStyle name="제목 3 4" xfId="3156"/>
    <cellStyle name="제목 3 4 2" xfId="3157"/>
    <cellStyle name="제목 3 4 3" xfId="3158"/>
    <cellStyle name="제목 3 4 4" xfId="3159"/>
    <cellStyle name="제목 3 5" xfId="3160"/>
    <cellStyle name="제목 3 5 10" xfId="3161"/>
    <cellStyle name="제목 3 5 11" xfId="3162"/>
    <cellStyle name="제목 3 5 12" xfId="3163"/>
    <cellStyle name="제목 3 5 13" xfId="3164"/>
    <cellStyle name="제목 3 5 14" xfId="3165"/>
    <cellStyle name="제목 3 5 2" xfId="3166"/>
    <cellStyle name="제목 3 5 3" xfId="3167"/>
    <cellStyle name="제목 3 5 4" xfId="3168"/>
    <cellStyle name="제목 3 5 5" xfId="3169"/>
    <cellStyle name="제목 3 5 6" xfId="3170"/>
    <cellStyle name="제목 3 5 7" xfId="3171"/>
    <cellStyle name="제목 3 5 8" xfId="3172"/>
    <cellStyle name="제목 3 5 9" xfId="3173"/>
    <cellStyle name="제목 3 6" xfId="3174"/>
    <cellStyle name="제목 3 6 2" xfId="3175"/>
    <cellStyle name="제목 3 6 3" xfId="3176"/>
    <cellStyle name="제목 3 6 4" xfId="3177"/>
    <cellStyle name="제목 3 6 5" xfId="3178"/>
    <cellStyle name="제목 3 7" xfId="3179"/>
    <cellStyle name="제목 3 7 2" xfId="3180"/>
    <cellStyle name="제목 3 8" xfId="3181"/>
    <cellStyle name="제목 3 8 2" xfId="3182"/>
    <cellStyle name="제목 3 9" xfId="3183"/>
    <cellStyle name="제목 3 9 2" xfId="3184"/>
    <cellStyle name="제목 4 10" xfId="3185"/>
    <cellStyle name="제목 4 10 2" xfId="3186"/>
    <cellStyle name="제목 4 11" xfId="3187"/>
    <cellStyle name="제목 4 11 2" xfId="3188"/>
    <cellStyle name="제목 4 12" xfId="3189"/>
    <cellStyle name="제목 4 12 2" xfId="3190"/>
    <cellStyle name="제목 4 13" xfId="3191"/>
    <cellStyle name="제목 4 13 2" xfId="3192"/>
    <cellStyle name="제목 4 14" xfId="3193"/>
    <cellStyle name="제목 4 15" xfId="3194"/>
    <cellStyle name="제목 4 2" xfId="3195"/>
    <cellStyle name="제목 4 2 10" xfId="3196"/>
    <cellStyle name="제목 4 2 11" xfId="3197"/>
    <cellStyle name="제목 4 2 12" xfId="3198"/>
    <cellStyle name="제목 4 2 13" xfId="3199"/>
    <cellStyle name="제목 4 2 14" xfId="3200"/>
    <cellStyle name="제목 4 2 2" xfId="3201"/>
    <cellStyle name="제목 4 2 3" xfId="3202"/>
    <cellStyle name="제목 4 2 4" xfId="3203"/>
    <cellStyle name="제목 4 2 5" xfId="3204"/>
    <cellStyle name="제목 4 2 6" xfId="3205"/>
    <cellStyle name="제목 4 2 7" xfId="3206"/>
    <cellStyle name="제목 4 2 8" xfId="3207"/>
    <cellStyle name="제목 4 2 9" xfId="3208"/>
    <cellStyle name="제목 4 3" xfId="3209"/>
    <cellStyle name="제목 4 3 10" xfId="3210"/>
    <cellStyle name="제목 4 3 2" xfId="3211"/>
    <cellStyle name="제목 4 3 2 2" xfId="3212"/>
    <cellStyle name="제목 4 3 2 3" xfId="3213"/>
    <cellStyle name="제목 4 3 2 4" xfId="3214"/>
    <cellStyle name="제목 4 3 3" xfId="3215"/>
    <cellStyle name="제목 4 3 4" xfId="3216"/>
    <cellStyle name="제목 4 3 5" xfId="3217"/>
    <cellStyle name="제목 4 3 6" xfId="3218"/>
    <cellStyle name="제목 4 3 7" xfId="3219"/>
    <cellStyle name="제목 4 3 8" xfId="3220"/>
    <cellStyle name="제목 4 3 9" xfId="3221"/>
    <cellStyle name="제목 4 4" xfId="3222"/>
    <cellStyle name="제목 4 4 2" xfId="3223"/>
    <cellStyle name="제목 4 4 3" xfId="3224"/>
    <cellStyle name="제목 4 4 4" xfId="3225"/>
    <cellStyle name="제목 4 5" xfId="3226"/>
    <cellStyle name="제목 4 5 10" xfId="3227"/>
    <cellStyle name="제목 4 5 11" xfId="3228"/>
    <cellStyle name="제목 4 5 12" xfId="3229"/>
    <cellStyle name="제목 4 5 13" xfId="3230"/>
    <cellStyle name="제목 4 5 14" xfId="3231"/>
    <cellStyle name="제목 4 5 2" xfId="3232"/>
    <cellStyle name="제목 4 5 3" xfId="3233"/>
    <cellStyle name="제목 4 5 4" xfId="3234"/>
    <cellStyle name="제목 4 5 5" xfId="3235"/>
    <cellStyle name="제목 4 5 6" xfId="3236"/>
    <cellStyle name="제목 4 5 7" xfId="3237"/>
    <cellStyle name="제목 4 5 8" xfId="3238"/>
    <cellStyle name="제목 4 5 9" xfId="3239"/>
    <cellStyle name="제목 4 6" xfId="3240"/>
    <cellStyle name="제목 4 6 2" xfId="3241"/>
    <cellStyle name="제목 4 6 3" xfId="3242"/>
    <cellStyle name="제목 4 6 4" xfId="3243"/>
    <cellStyle name="제목 4 6 5" xfId="3244"/>
    <cellStyle name="제목 4 7" xfId="3245"/>
    <cellStyle name="제목 4 7 2" xfId="3246"/>
    <cellStyle name="제목 4 8" xfId="3247"/>
    <cellStyle name="제목 4 8 2" xfId="3248"/>
    <cellStyle name="제목 4 9" xfId="3249"/>
    <cellStyle name="제목 4 9 2" xfId="3250"/>
    <cellStyle name="제목 5" xfId="3251"/>
    <cellStyle name="제목 5 10" xfId="3252"/>
    <cellStyle name="제목 5 11" xfId="3253"/>
    <cellStyle name="제목 5 12" xfId="3254"/>
    <cellStyle name="제목 5 13" xfId="3255"/>
    <cellStyle name="제목 5 14" xfId="3256"/>
    <cellStyle name="제목 5 2" xfId="3257"/>
    <cellStyle name="제목 5 3" xfId="3258"/>
    <cellStyle name="제목 5 4" xfId="3259"/>
    <cellStyle name="제목 5 5" xfId="3260"/>
    <cellStyle name="제목 5 6" xfId="3261"/>
    <cellStyle name="제목 5 7" xfId="3262"/>
    <cellStyle name="제목 5 8" xfId="3263"/>
    <cellStyle name="제목 5 9" xfId="3264"/>
    <cellStyle name="제목 6" xfId="3265"/>
    <cellStyle name="제목 6 2" xfId="3266"/>
    <cellStyle name="제목 6 3" xfId="3267"/>
    <cellStyle name="제목 6 4" xfId="3268"/>
    <cellStyle name="제목 7" xfId="3269"/>
    <cellStyle name="제목 7 10" xfId="3270"/>
    <cellStyle name="제목 7 11" xfId="3271"/>
    <cellStyle name="제목 7 12" xfId="3272"/>
    <cellStyle name="제목 7 13" xfId="3273"/>
    <cellStyle name="제목 7 14" xfId="3274"/>
    <cellStyle name="제목 7 2" xfId="3275"/>
    <cellStyle name="제목 7 3" xfId="3276"/>
    <cellStyle name="제목 7 4" xfId="3277"/>
    <cellStyle name="제목 7 5" xfId="3278"/>
    <cellStyle name="제목 7 6" xfId="3279"/>
    <cellStyle name="제목 7 7" xfId="3280"/>
    <cellStyle name="제목 7 8" xfId="3281"/>
    <cellStyle name="제목 7 9" xfId="3282"/>
    <cellStyle name="제목 8" xfId="3283"/>
    <cellStyle name="제목 8 2" xfId="3284"/>
    <cellStyle name="제목 8 3" xfId="3285"/>
    <cellStyle name="제목 8 4" xfId="3286"/>
    <cellStyle name="제목 9" xfId="3287"/>
    <cellStyle name="제목 9 2" xfId="3288"/>
    <cellStyle name="좋음 10" xfId="3289"/>
    <cellStyle name="좋음 11" xfId="3290"/>
    <cellStyle name="좋음 12" xfId="3291"/>
    <cellStyle name="좋음 13" xfId="3292"/>
    <cellStyle name="좋음 14" xfId="3293"/>
    <cellStyle name="좋음 2" xfId="3294"/>
    <cellStyle name="좋음 2 10" xfId="3295"/>
    <cellStyle name="좋음 2 11" xfId="3296"/>
    <cellStyle name="좋음 2 12" xfId="3297"/>
    <cellStyle name="좋음 2 13" xfId="3298"/>
    <cellStyle name="좋음 2 14" xfId="3299"/>
    <cellStyle name="좋음 2 2" xfId="3300"/>
    <cellStyle name="좋음 2 3" xfId="3301"/>
    <cellStyle name="좋음 2 4" xfId="3302"/>
    <cellStyle name="좋음 2 5" xfId="3303"/>
    <cellStyle name="좋음 2 6" xfId="3304"/>
    <cellStyle name="좋음 2 7" xfId="3305"/>
    <cellStyle name="좋음 2 8" xfId="3306"/>
    <cellStyle name="좋음 2 9" xfId="3307"/>
    <cellStyle name="좋음 29" xfId="3308"/>
    <cellStyle name="좋음 29 2" xfId="3309"/>
    <cellStyle name="좋음 3" xfId="3310"/>
    <cellStyle name="좋음 3 10" xfId="3311"/>
    <cellStyle name="좋음 3 2" xfId="3312"/>
    <cellStyle name="좋음 3 2 2" xfId="3313"/>
    <cellStyle name="좋음 3 2 3" xfId="3314"/>
    <cellStyle name="좋음 3 2 4" xfId="3315"/>
    <cellStyle name="좋음 3 3" xfId="3316"/>
    <cellStyle name="좋음 3 4" xfId="3317"/>
    <cellStyle name="좋음 3 5" xfId="3318"/>
    <cellStyle name="좋음 3 6" xfId="3319"/>
    <cellStyle name="좋음 3 7" xfId="3320"/>
    <cellStyle name="좋음 3 8" xfId="3321"/>
    <cellStyle name="좋음 3 9" xfId="3322"/>
    <cellStyle name="좋음 30" xfId="3323"/>
    <cellStyle name="좋음 30 2" xfId="3324"/>
    <cellStyle name="좋음 31" xfId="3325"/>
    <cellStyle name="좋음 31 2" xfId="3326"/>
    <cellStyle name="좋음 32" xfId="3327"/>
    <cellStyle name="좋음 32 2" xfId="3328"/>
    <cellStyle name="좋음 33" xfId="3329"/>
    <cellStyle name="좋음 33 2" xfId="3330"/>
    <cellStyle name="좋음 34" xfId="3331"/>
    <cellStyle name="좋음 34 2" xfId="3332"/>
    <cellStyle name="좋음 35" xfId="3333"/>
    <cellStyle name="좋음 35 2" xfId="3334"/>
    <cellStyle name="좋음 36" xfId="3335"/>
    <cellStyle name="좋음 36 2" xfId="3336"/>
    <cellStyle name="좋음 37" xfId="3337"/>
    <cellStyle name="좋음 37 2" xfId="3338"/>
    <cellStyle name="좋음 4" xfId="3339"/>
    <cellStyle name="좋음 4 2" xfId="3340"/>
    <cellStyle name="좋음 4 3" xfId="3341"/>
    <cellStyle name="좋음 4 4" xfId="3342"/>
    <cellStyle name="좋음 5" xfId="3343"/>
    <cellStyle name="좋음 5 10" xfId="3344"/>
    <cellStyle name="좋음 5 11" xfId="3345"/>
    <cellStyle name="좋음 5 12" xfId="3346"/>
    <cellStyle name="좋음 5 13" xfId="3347"/>
    <cellStyle name="좋음 5 2" xfId="3348"/>
    <cellStyle name="좋음 5 3" xfId="3349"/>
    <cellStyle name="좋음 5 4" xfId="3350"/>
    <cellStyle name="좋음 5 5" xfId="3351"/>
    <cellStyle name="좋음 5 6" xfId="3352"/>
    <cellStyle name="좋음 5 7" xfId="3353"/>
    <cellStyle name="좋음 5 8" xfId="3354"/>
    <cellStyle name="좋음 5 9" xfId="3355"/>
    <cellStyle name="좋음 6" xfId="3356"/>
    <cellStyle name="좋음 6 2" xfId="3357"/>
    <cellStyle name="좋음 6 3" xfId="3358"/>
    <cellStyle name="좋음 6 4" xfId="3359"/>
    <cellStyle name="좋음 6 5" xfId="3360"/>
    <cellStyle name="좋음 7" xfId="3361"/>
    <cellStyle name="좋음 8" xfId="3362"/>
    <cellStyle name="좋음 9" xfId="3363"/>
    <cellStyle name="출력 10" xfId="3364"/>
    <cellStyle name="출력 10 2" xfId="3365"/>
    <cellStyle name="출력 11" xfId="3366"/>
    <cellStyle name="출력 11 2" xfId="3367"/>
    <cellStyle name="출력 12" xfId="3368"/>
    <cellStyle name="출력 12 2" xfId="3369"/>
    <cellStyle name="출력 13" xfId="3370"/>
    <cellStyle name="출력 13 2" xfId="3371"/>
    <cellStyle name="출력 14" xfId="3372"/>
    <cellStyle name="출력 15" xfId="3373"/>
    <cellStyle name="출력 2" xfId="3374"/>
    <cellStyle name="출력 2 10" xfId="3375"/>
    <cellStyle name="출력 2 11" xfId="3376"/>
    <cellStyle name="출력 2 12" xfId="3377"/>
    <cellStyle name="출력 2 13" xfId="3378"/>
    <cellStyle name="출력 2 14" xfId="3379"/>
    <cellStyle name="출력 2 2" xfId="3380"/>
    <cellStyle name="출력 2 3" xfId="3381"/>
    <cellStyle name="출력 2 4" xfId="3382"/>
    <cellStyle name="출력 2 5" xfId="3383"/>
    <cellStyle name="출력 2 6" xfId="3384"/>
    <cellStyle name="출력 2 7" xfId="3385"/>
    <cellStyle name="출력 2 8" xfId="3386"/>
    <cellStyle name="출력 2 9" xfId="3387"/>
    <cellStyle name="출력 3" xfId="3388"/>
    <cellStyle name="출력 3 10" xfId="3389"/>
    <cellStyle name="출력 3 2" xfId="3390"/>
    <cellStyle name="출력 3 2 2" xfId="3391"/>
    <cellStyle name="출력 3 2 3" xfId="3392"/>
    <cellStyle name="출력 3 2 4" xfId="3393"/>
    <cellStyle name="출력 3 3" xfId="3394"/>
    <cellStyle name="출력 3 4" xfId="3395"/>
    <cellStyle name="출력 3 5" xfId="3396"/>
    <cellStyle name="출력 3 6" xfId="3397"/>
    <cellStyle name="출력 3 7" xfId="3398"/>
    <cellStyle name="출력 3 8" xfId="3399"/>
    <cellStyle name="출력 3 9" xfId="3400"/>
    <cellStyle name="출력 4" xfId="3401"/>
    <cellStyle name="출력 4 2" xfId="3402"/>
    <cellStyle name="출력 4 3" xfId="3403"/>
    <cellStyle name="출력 4 4" xfId="3404"/>
    <cellStyle name="출력 5" xfId="3405"/>
    <cellStyle name="출력 5 10" xfId="3406"/>
    <cellStyle name="출력 5 11" xfId="3407"/>
    <cellStyle name="출력 5 12" xfId="3408"/>
    <cellStyle name="출력 5 13" xfId="3409"/>
    <cellStyle name="출력 5 14" xfId="3410"/>
    <cellStyle name="출력 5 2" xfId="3411"/>
    <cellStyle name="출력 5 3" xfId="3412"/>
    <cellStyle name="출력 5 4" xfId="3413"/>
    <cellStyle name="출력 5 5" xfId="3414"/>
    <cellStyle name="출력 5 6" xfId="3415"/>
    <cellStyle name="출력 5 7" xfId="3416"/>
    <cellStyle name="출력 5 8" xfId="3417"/>
    <cellStyle name="출력 5 9" xfId="3418"/>
    <cellStyle name="출력 6" xfId="3419"/>
    <cellStyle name="출력 6 2" xfId="3420"/>
    <cellStyle name="출력 6 3" xfId="3421"/>
    <cellStyle name="출력 6 4" xfId="3422"/>
    <cellStyle name="출력 6 5" xfId="3423"/>
    <cellStyle name="출력 7" xfId="3424"/>
    <cellStyle name="출력 7 2" xfId="3425"/>
    <cellStyle name="출력 8" xfId="3426"/>
    <cellStyle name="출력 8 2" xfId="3427"/>
    <cellStyle name="출력 9" xfId="3428"/>
    <cellStyle name="출력 9 2" xfId="3429"/>
    <cellStyle name="표준 10" xfId="3430"/>
    <cellStyle name="표준 10 10" xfId="3431"/>
    <cellStyle name="표준 10 11" xfId="3432"/>
    <cellStyle name="표준 10 12" xfId="3433"/>
    <cellStyle name="표준 10 13" xfId="3434"/>
    <cellStyle name="표준 10 14" xfId="3435"/>
    <cellStyle name="표준 10 15" xfId="3436"/>
    <cellStyle name="표준 10 16" xfId="3437"/>
    <cellStyle name="표준 10 17" xfId="3438"/>
    <cellStyle name="표준 10 2" xfId="3439"/>
    <cellStyle name="표준 10 3" xfId="3440"/>
    <cellStyle name="표준 10 4" xfId="3441"/>
    <cellStyle name="표준 10 5" xfId="3442"/>
    <cellStyle name="표준 10 6" xfId="3443"/>
    <cellStyle name="표준 10 7" xfId="3444"/>
    <cellStyle name="표준 10 8" xfId="3445"/>
    <cellStyle name="표준 10 9" xfId="3446"/>
    <cellStyle name="표준 100" xfId="23"/>
    <cellStyle name="표준 11" xfId="3447"/>
    <cellStyle name="표준 11 10" xfId="3448"/>
    <cellStyle name="표준 11 11" xfId="3449"/>
    <cellStyle name="표준 11 12" xfId="3450"/>
    <cellStyle name="표준 11 13" xfId="3451"/>
    <cellStyle name="표준 11 14" xfId="3452"/>
    <cellStyle name="표준 11 2" xfId="3453"/>
    <cellStyle name="표준 11 3" xfId="3454"/>
    <cellStyle name="표준 11 4" xfId="3455"/>
    <cellStyle name="표준 11 5" xfId="3456"/>
    <cellStyle name="표준 11 6" xfId="3457"/>
    <cellStyle name="표준 11 7" xfId="3458"/>
    <cellStyle name="표준 11 8" xfId="3459"/>
    <cellStyle name="표준 11 9" xfId="3460"/>
    <cellStyle name="표준 12" xfId="3461"/>
    <cellStyle name="표준 13" xfId="3462"/>
    <cellStyle name="표준 14" xfId="3463"/>
    <cellStyle name="표준 14 10" xfId="3464"/>
    <cellStyle name="표준 14 11" xfId="3465"/>
    <cellStyle name="표준 14 12" xfId="3466"/>
    <cellStyle name="표준 14 13" xfId="3467"/>
    <cellStyle name="표준 14 14" xfId="3468"/>
    <cellStyle name="표준 14 2" xfId="3469"/>
    <cellStyle name="표준 14 3" xfId="3470"/>
    <cellStyle name="표준 14 4" xfId="3471"/>
    <cellStyle name="표준 14 5" xfId="3472"/>
    <cellStyle name="표준 14 6" xfId="3473"/>
    <cellStyle name="표준 14 7" xfId="3474"/>
    <cellStyle name="표준 14 8" xfId="3475"/>
    <cellStyle name="표준 14 9" xfId="3476"/>
    <cellStyle name="표준 15" xfId="3477"/>
    <cellStyle name="표준 16" xfId="3478"/>
    <cellStyle name="표준 16 10" xfId="3479"/>
    <cellStyle name="표준 16 11" xfId="3480"/>
    <cellStyle name="표준 16 2" xfId="3481"/>
    <cellStyle name="표준 16 3" xfId="3482"/>
    <cellStyle name="표준 16 4" xfId="3483"/>
    <cellStyle name="표준 16 5" xfId="3484"/>
    <cellStyle name="표준 16 6" xfId="3485"/>
    <cellStyle name="표준 16 7" xfId="3486"/>
    <cellStyle name="표준 16 8" xfId="3487"/>
    <cellStyle name="표준 16 9" xfId="3488"/>
    <cellStyle name="표준 17" xfId="3489"/>
    <cellStyle name="표준 17 10" xfId="3490"/>
    <cellStyle name="표준 17 11" xfId="3491"/>
    <cellStyle name="표준 17 2" xfId="3492"/>
    <cellStyle name="표준 17 3" xfId="3493"/>
    <cellStyle name="표준 17 4" xfId="3494"/>
    <cellStyle name="표준 17 5" xfId="3495"/>
    <cellStyle name="표준 17 6" xfId="3496"/>
    <cellStyle name="표준 17 7" xfId="3497"/>
    <cellStyle name="표준 17 8" xfId="3498"/>
    <cellStyle name="표준 17 9" xfId="3499"/>
    <cellStyle name="표준 18" xfId="3500"/>
    <cellStyle name="표준 19" xfId="3501"/>
    <cellStyle name="표준 19 10" xfId="3502"/>
    <cellStyle name="표준 19 11" xfId="3503"/>
    <cellStyle name="표준 19 12" xfId="3504"/>
    <cellStyle name="표준 19 13" xfId="3505"/>
    <cellStyle name="표준 19 14" xfId="3506"/>
    <cellStyle name="표준 19 2" xfId="3507"/>
    <cellStyle name="표준 19 3" xfId="3508"/>
    <cellStyle name="표준 19 4" xfId="3509"/>
    <cellStyle name="표준 19 5" xfId="3510"/>
    <cellStyle name="표준 19 6" xfId="3511"/>
    <cellStyle name="표준 19 7" xfId="3512"/>
    <cellStyle name="표준 19 8" xfId="3513"/>
    <cellStyle name="표준 19 9" xfId="3514"/>
    <cellStyle name="표준 2" xfId="2"/>
    <cellStyle name="표준 2 10" xfId="24"/>
    <cellStyle name="표준 2 10 2" xfId="3517"/>
    <cellStyle name="표준 2 10 3" xfId="3518"/>
    <cellStyle name="표준 2 10 4" xfId="3519"/>
    <cellStyle name="표준 2 10 5" xfId="3516"/>
    <cellStyle name="표준 2 10 8" xfId="3520"/>
    <cellStyle name="표준 2 11" xfId="168"/>
    <cellStyle name="표준 2 11 2" xfId="3522"/>
    <cellStyle name="표준 2 11 3" xfId="3523"/>
    <cellStyle name="표준 2 11 4" xfId="3524"/>
    <cellStyle name="표준 2 11 5" xfId="3521"/>
    <cellStyle name="표준 2 12" xfId="3525"/>
    <cellStyle name="표준 2 13" xfId="3526"/>
    <cellStyle name="표준 2 14" xfId="3527"/>
    <cellStyle name="표준 2 14 2" xfId="3528"/>
    <cellStyle name="표준 2 14 3" xfId="3529"/>
    <cellStyle name="표준 2 14 4" xfId="3530"/>
    <cellStyle name="표준 2 15" xfId="3531"/>
    <cellStyle name="표준 2 15 2" xfId="3532"/>
    <cellStyle name="표준 2 15 3" xfId="3533"/>
    <cellStyle name="표준 2 15 4" xfId="3534"/>
    <cellStyle name="표준 2 16" xfId="3535"/>
    <cellStyle name="표준 2 17" xfId="3536"/>
    <cellStyle name="표준 2 18" xfId="3537"/>
    <cellStyle name="표준 2 19" xfId="3538"/>
    <cellStyle name="표준 2 2" xfId="3"/>
    <cellStyle name="표준 2 2 10" xfId="3540"/>
    <cellStyle name="표준 2 2 11" xfId="3541"/>
    <cellStyle name="표준 2 2 12" xfId="3539"/>
    <cellStyle name="표준 2 2 2" xfId="73"/>
    <cellStyle name="표준 2 2 2 2" xfId="74"/>
    <cellStyle name="표준 2 2 2 2 2" xfId="3544"/>
    <cellStyle name="표준 2 2 2 2 3" xfId="3545"/>
    <cellStyle name="표준 2 2 2 2 4" xfId="3543"/>
    <cellStyle name="표준 2 2 2 3" xfId="75"/>
    <cellStyle name="표준 2 2 2 3 2" xfId="76"/>
    <cellStyle name="표준 2 2 2 3 3" xfId="3546"/>
    <cellStyle name="표준 2 2 2 4" xfId="77"/>
    <cellStyle name="표준 2 2 2 5" xfId="3542"/>
    <cellStyle name="표준 2 2 3" xfId="78"/>
    <cellStyle name="표준 2 2 3 2" xfId="3547"/>
    <cellStyle name="표준 2 2 4" xfId="79"/>
    <cellStyle name="표준 2 2 4 2" xfId="80"/>
    <cellStyle name="표준 2 2 4 3" xfId="3548"/>
    <cellStyle name="표준 2 2 5" xfId="81"/>
    <cellStyle name="표준 2 2 5 2" xfId="82"/>
    <cellStyle name="표준 2 2 5 3" xfId="3549"/>
    <cellStyle name="표준 2 2 6" xfId="83"/>
    <cellStyle name="표준 2 2 6 2" xfId="3550"/>
    <cellStyle name="표준 2 2 7" xfId="3551"/>
    <cellStyle name="표준 2 2 8" xfId="3552"/>
    <cellStyle name="표준 2 2 9" xfId="3553"/>
    <cellStyle name="표준 2 20" xfId="3554"/>
    <cellStyle name="표준 2 21" xfId="3555"/>
    <cellStyle name="표준 2 22" xfId="3556"/>
    <cellStyle name="표준 2 23" xfId="3557"/>
    <cellStyle name="표준 2 24" xfId="3558"/>
    <cellStyle name="표준 2 25" xfId="3559"/>
    <cellStyle name="표준 2 26" xfId="3560"/>
    <cellStyle name="표준 2 27" xfId="3561"/>
    <cellStyle name="표준 2 28" xfId="3562"/>
    <cellStyle name="표준 2 29" xfId="3563"/>
    <cellStyle name="표준 2 3" xfId="22"/>
    <cellStyle name="표준 2 3 2" xfId="85"/>
    <cellStyle name="표준 2 3 2 2" xfId="86"/>
    <cellStyle name="표준 2 3 2 3" xfId="87"/>
    <cellStyle name="표준 2 3 2 3 2" xfId="88"/>
    <cellStyle name="표준 2 3 2 4" xfId="89"/>
    <cellStyle name="표준 2 3 3" xfId="90"/>
    <cellStyle name="표준 2 3 4" xfId="91"/>
    <cellStyle name="표준 2 3 4 2" xfId="92"/>
    <cellStyle name="표준 2 3 4 3" xfId="3565"/>
    <cellStyle name="표준 2 3 5" xfId="93"/>
    <cellStyle name="표준 2 3 5 2" xfId="94"/>
    <cellStyle name="표준 2 3 6" xfId="95"/>
    <cellStyle name="표준 2 3 7" xfId="84"/>
    <cellStyle name="표준 2 3 8" xfId="172"/>
    <cellStyle name="표준 2 3 9" xfId="3564"/>
    <cellStyle name="표준 2 30" xfId="3566"/>
    <cellStyle name="표준 2 31" xfId="3567"/>
    <cellStyle name="표준 2 32" xfId="3568"/>
    <cellStyle name="표준 2 33" xfId="3569"/>
    <cellStyle name="표준 2 34" xfId="3570"/>
    <cellStyle name="표준 2 35" xfId="3571"/>
    <cellStyle name="표준 2 36" xfId="3572"/>
    <cellStyle name="표준 2 37" xfId="3573"/>
    <cellStyle name="표준 2 38" xfId="3574"/>
    <cellStyle name="표준 2 39" xfId="3575"/>
    <cellStyle name="표준 2 4" xfId="96"/>
    <cellStyle name="표준 2 4 2" xfId="97"/>
    <cellStyle name="표준 2 4 2 2" xfId="98"/>
    <cellStyle name="표준 2 4 2 3" xfId="99"/>
    <cellStyle name="표준 2 4 2 3 2" xfId="100"/>
    <cellStyle name="표준 2 4 2 4" xfId="101"/>
    <cellStyle name="표준 2 4 3" xfId="102"/>
    <cellStyle name="표준 2 4 4" xfId="103"/>
    <cellStyle name="표준 2 4 4 2" xfId="104"/>
    <cellStyle name="표준 2 4 4 3" xfId="3577"/>
    <cellStyle name="표준 2 4 5" xfId="105"/>
    <cellStyle name="표준 2 4 5 2" xfId="106"/>
    <cellStyle name="표준 2 4 6" xfId="107"/>
    <cellStyle name="표준 2 4 7" xfId="3576"/>
    <cellStyle name="표준 2 40" xfId="3578"/>
    <cellStyle name="표준 2 41" xfId="3579"/>
    <cellStyle name="표준 2 42" xfId="3580"/>
    <cellStyle name="표준 2 43" xfId="3581"/>
    <cellStyle name="표준 2 44" xfId="3582"/>
    <cellStyle name="표준 2 45" xfId="3583"/>
    <cellStyle name="표준 2 46" xfId="3584"/>
    <cellStyle name="표준 2 47" xfId="3515"/>
    <cellStyle name="표준 2 5" xfId="108"/>
    <cellStyle name="표준 2 5 2" xfId="109"/>
    <cellStyle name="표준 2 5 3" xfId="110"/>
    <cellStyle name="표준 2 5 3 2" xfId="111"/>
    <cellStyle name="표준 2 5 3 3" xfId="3586"/>
    <cellStyle name="표준 2 5 4" xfId="112"/>
    <cellStyle name="표준 2 5 4 2" xfId="3587"/>
    <cellStyle name="표준 2 5 5" xfId="3585"/>
    <cellStyle name="표준 2 6" xfId="113"/>
    <cellStyle name="표준 2 6 2" xfId="3589"/>
    <cellStyle name="표준 2 6 3" xfId="3590"/>
    <cellStyle name="표준 2 6 4" xfId="3591"/>
    <cellStyle name="표준 2 6 5" xfId="3588"/>
    <cellStyle name="표준 2 7" xfId="114"/>
    <cellStyle name="표준 2 7 2" xfId="115"/>
    <cellStyle name="표준 2 7 2 2" xfId="3593"/>
    <cellStyle name="표준 2 7 3" xfId="3594"/>
    <cellStyle name="표준 2 7 4" xfId="3595"/>
    <cellStyle name="표준 2 7 5" xfId="3592"/>
    <cellStyle name="표준 2 8" xfId="116"/>
    <cellStyle name="표준 2 8 2" xfId="117"/>
    <cellStyle name="표준 2 8 2 2" xfId="3597"/>
    <cellStyle name="표준 2 8 3" xfId="3598"/>
    <cellStyle name="표준 2 8 4" xfId="3599"/>
    <cellStyle name="표준 2 8 5" xfId="3596"/>
    <cellStyle name="표준 2 9" xfId="118"/>
    <cellStyle name="표준 2 9 2" xfId="3601"/>
    <cellStyle name="표준 2 9 3" xfId="3602"/>
    <cellStyle name="표준 2 9 4" xfId="3603"/>
    <cellStyle name="표준 2 9 5" xfId="3600"/>
    <cellStyle name="표준 20" xfId="3604"/>
    <cellStyle name="표준 20 10" xfId="3605"/>
    <cellStyle name="표준 20 11" xfId="3606"/>
    <cellStyle name="표준 20 2" xfId="3607"/>
    <cellStyle name="표준 20 3" xfId="3608"/>
    <cellStyle name="표준 20 4" xfId="3609"/>
    <cellStyle name="표준 20 5" xfId="3610"/>
    <cellStyle name="표준 20 6" xfId="3611"/>
    <cellStyle name="표준 20 7" xfId="3612"/>
    <cellStyle name="표준 20 8" xfId="3613"/>
    <cellStyle name="표준 20 9" xfId="3614"/>
    <cellStyle name="표준 21" xfId="3615"/>
    <cellStyle name="표준 21 10" xfId="3616"/>
    <cellStyle name="표준 21 11" xfId="3617"/>
    <cellStyle name="표준 21 12" xfId="3618"/>
    <cellStyle name="표준 21 13" xfId="3619"/>
    <cellStyle name="표준 21 14" xfId="3620"/>
    <cellStyle name="표준 21 15" xfId="3621"/>
    <cellStyle name="표준 21 16" xfId="3622"/>
    <cellStyle name="표준 21 17" xfId="3623"/>
    <cellStyle name="표준 21 2" xfId="3624"/>
    <cellStyle name="표준 21 3" xfId="3625"/>
    <cellStyle name="표준 21 4" xfId="3626"/>
    <cellStyle name="표준 21 5" xfId="3627"/>
    <cellStyle name="표준 21 6" xfId="3628"/>
    <cellStyle name="표준 21 7" xfId="3629"/>
    <cellStyle name="표준 21 8" xfId="3630"/>
    <cellStyle name="표준 21 9" xfId="3631"/>
    <cellStyle name="표준 22" xfId="3632"/>
    <cellStyle name="표준 22 10" xfId="3633"/>
    <cellStyle name="표준 22 11" xfId="3634"/>
    <cellStyle name="표준 22 2" xfId="3635"/>
    <cellStyle name="표준 22 3" xfId="3636"/>
    <cellStyle name="표준 22 4" xfId="3637"/>
    <cellStyle name="표준 22 5" xfId="3638"/>
    <cellStyle name="표준 22 6" xfId="3639"/>
    <cellStyle name="표준 22 7" xfId="3640"/>
    <cellStyle name="표준 22 8" xfId="3641"/>
    <cellStyle name="표준 22 9" xfId="3642"/>
    <cellStyle name="표준 23" xfId="3643"/>
    <cellStyle name="표준 23 10" xfId="3644"/>
    <cellStyle name="표준 23 11" xfId="3645"/>
    <cellStyle name="표준 23 2" xfId="3646"/>
    <cellStyle name="표준 23 3" xfId="3647"/>
    <cellStyle name="표준 23 4" xfId="3648"/>
    <cellStyle name="표준 23 5" xfId="3649"/>
    <cellStyle name="표준 23 6" xfId="3650"/>
    <cellStyle name="표준 23 7" xfId="3651"/>
    <cellStyle name="표준 23 8" xfId="3652"/>
    <cellStyle name="표준 23 9" xfId="3653"/>
    <cellStyle name="표준 24" xfId="3654"/>
    <cellStyle name="표준 24 10" xfId="3655"/>
    <cellStyle name="표준 24 11" xfId="3656"/>
    <cellStyle name="표준 24 2" xfId="3657"/>
    <cellStyle name="표준 24 3" xfId="3658"/>
    <cellStyle name="표준 24 4" xfId="3659"/>
    <cellStyle name="표준 24 5" xfId="3660"/>
    <cellStyle name="표준 24 6" xfId="3661"/>
    <cellStyle name="표준 24 7" xfId="3662"/>
    <cellStyle name="표준 24 8" xfId="3663"/>
    <cellStyle name="표준 24 9" xfId="3664"/>
    <cellStyle name="표준 25" xfId="3665"/>
    <cellStyle name="표준 25 10" xfId="3666"/>
    <cellStyle name="표준 25 11" xfId="3667"/>
    <cellStyle name="표준 25 2" xfId="3668"/>
    <cellStyle name="표준 25 3" xfId="3669"/>
    <cellStyle name="표준 25 4" xfId="3670"/>
    <cellStyle name="표준 25 5" xfId="3671"/>
    <cellStyle name="표준 25 6" xfId="3672"/>
    <cellStyle name="표준 25 7" xfId="3673"/>
    <cellStyle name="표준 25 8" xfId="3674"/>
    <cellStyle name="표준 25 9" xfId="3675"/>
    <cellStyle name="표준 26" xfId="3676"/>
    <cellStyle name="표준 26 10" xfId="3677"/>
    <cellStyle name="표준 26 11" xfId="3678"/>
    <cellStyle name="표준 26 2" xfId="3679"/>
    <cellStyle name="표준 26 3" xfId="3680"/>
    <cellStyle name="표준 26 4" xfId="3681"/>
    <cellStyle name="표준 26 5" xfId="3682"/>
    <cellStyle name="표준 26 6" xfId="3683"/>
    <cellStyle name="표준 26 7" xfId="3684"/>
    <cellStyle name="표준 26 8" xfId="3685"/>
    <cellStyle name="표준 26 9" xfId="3686"/>
    <cellStyle name="표준 27" xfId="3687"/>
    <cellStyle name="표준 27 10" xfId="3688"/>
    <cellStyle name="표준 27 11" xfId="3689"/>
    <cellStyle name="표준 27 2" xfId="3690"/>
    <cellStyle name="표준 27 3" xfId="3691"/>
    <cellStyle name="표준 27 4" xfId="3692"/>
    <cellStyle name="표준 27 5" xfId="3693"/>
    <cellStyle name="표준 27 6" xfId="3694"/>
    <cellStyle name="표준 27 7" xfId="3695"/>
    <cellStyle name="표준 27 8" xfId="3696"/>
    <cellStyle name="표준 27 9" xfId="3697"/>
    <cellStyle name="표준 28" xfId="3698"/>
    <cellStyle name="표준 28 2" xfId="3699"/>
    <cellStyle name="표준 28 3" xfId="3700"/>
    <cellStyle name="표준 28 4" xfId="3701"/>
    <cellStyle name="표준 28 5" xfId="3702"/>
    <cellStyle name="표준 28 6" xfId="3703"/>
    <cellStyle name="표준 28 7" xfId="3704"/>
    <cellStyle name="표준 29" xfId="3705"/>
    <cellStyle name="표준 3" xfId="4"/>
    <cellStyle name="표준 3 10" xfId="119"/>
    <cellStyle name="표준 3 10 2" xfId="3708"/>
    <cellStyle name="표준 3 10 3" xfId="3709"/>
    <cellStyle name="표준 3 10 4" xfId="3710"/>
    <cellStyle name="표준 3 10 5" xfId="3711"/>
    <cellStyle name="표준 3 10 6" xfId="3712"/>
    <cellStyle name="표준 3 10 7" xfId="3713"/>
    <cellStyle name="표준 3 10 8" xfId="3707"/>
    <cellStyle name="표준 3 11" xfId="3714"/>
    <cellStyle name="표준 3 11 2" xfId="3715"/>
    <cellStyle name="표준 3 11 3" xfId="3716"/>
    <cellStyle name="표준 3 11 4" xfId="3717"/>
    <cellStyle name="표준 3 11 5" xfId="3718"/>
    <cellStyle name="표준 3 11 6" xfId="3719"/>
    <cellStyle name="표준 3 11 7" xfId="3720"/>
    <cellStyle name="표준 3 12" xfId="3721"/>
    <cellStyle name="표준 3 12 2" xfId="3722"/>
    <cellStyle name="표준 3 12 3" xfId="3723"/>
    <cellStyle name="표준 3 12 4" xfId="3724"/>
    <cellStyle name="표준 3 13" xfId="3725"/>
    <cellStyle name="표준 3 13 2" xfId="3726"/>
    <cellStyle name="표준 3 13 3" xfId="3727"/>
    <cellStyle name="표준 3 13 4" xfId="3728"/>
    <cellStyle name="표준 3 14" xfId="3729"/>
    <cellStyle name="표준 3 14 2" xfId="3730"/>
    <cellStyle name="표준 3 14 3" xfId="3731"/>
    <cellStyle name="표준 3 14 4" xfId="3732"/>
    <cellStyle name="표준 3 15" xfId="3733"/>
    <cellStyle name="표준 3 15 2" xfId="3734"/>
    <cellStyle name="표준 3 15 3" xfId="3735"/>
    <cellStyle name="표준 3 15 4" xfId="3736"/>
    <cellStyle name="표준 3 16" xfId="3737"/>
    <cellStyle name="표준 3 16 2" xfId="3738"/>
    <cellStyle name="표준 3 16 3" xfId="3739"/>
    <cellStyle name="표준 3 16 4" xfId="3740"/>
    <cellStyle name="표준 3 17" xfId="3741"/>
    <cellStyle name="표준 3 17 2" xfId="3742"/>
    <cellStyle name="표준 3 17 3" xfId="3743"/>
    <cellStyle name="표준 3 17 4" xfId="3744"/>
    <cellStyle name="표준 3 18" xfId="3745"/>
    <cellStyle name="표준 3 18 2" xfId="3746"/>
    <cellStyle name="표준 3 18 3" xfId="3747"/>
    <cellStyle name="표준 3 18 4" xfId="3748"/>
    <cellStyle name="표준 3 19" xfId="3749"/>
    <cellStyle name="표준 3 19 2" xfId="3750"/>
    <cellStyle name="표준 3 19 3" xfId="3751"/>
    <cellStyle name="표준 3 19 4" xfId="3752"/>
    <cellStyle name="표준 3 2" xfId="120"/>
    <cellStyle name="표준 3 2 10" xfId="3753"/>
    <cellStyle name="표준 3 2 11" xfId="3754"/>
    <cellStyle name="표준 3 2 12" xfId="3755"/>
    <cellStyle name="표준 3 2 13" xfId="3756"/>
    <cellStyle name="표준 3 2 14" xfId="3757"/>
    <cellStyle name="표준 3 2 15" xfId="3758"/>
    <cellStyle name="표준 3 2 16" xfId="3759"/>
    <cellStyle name="표준 3 2 17" xfId="3760"/>
    <cellStyle name="표준 3 2 18" xfId="3761"/>
    <cellStyle name="표준 3 2 19" xfId="3762"/>
    <cellStyle name="표준 3 2 2" xfId="121"/>
    <cellStyle name="표준 3 2 2 10" xfId="3764"/>
    <cellStyle name="표준 3 2 2 11" xfId="3765"/>
    <cellStyle name="표준 3 2 2 12" xfId="3766"/>
    <cellStyle name="표준 3 2 2 13" xfId="3767"/>
    <cellStyle name="표준 3 2 2 14" xfId="3768"/>
    <cellStyle name="표준 3 2 2 15" xfId="3769"/>
    <cellStyle name="표준 3 2 2 16" xfId="3763"/>
    <cellStyle name="표준 3 2 2 2" xfId="122"/>
    <cellStyle name="표준 3 2 2 2 2" xfId="3770"/>
    <cellStyle name="표준 3 2 2 2 3" xfId="3771"/>
    <cellStyle name="표준 3 2 2 2 4" xfId="3772"/>
    <cellStyle name="표준 3 2 2 3" xfId="123"/>
    <cellStyle name="표준 3 2 2 3 2" xfId="124"/>
    <cellStyle name="표준 3 2 2 3 3" xfId="3773"/>
    <cellStyle name="표준 3 2 2 4" xfId="125"/>
    <cellStyle name="표준 3 2 2 4 2" xfId="3774"/>
    <cellStyle name="표준 3 2 2 5" xfId="3775"/>
    <cellStyle name="표준 3 2 2 6" xfId="3776"/>
    <cellStyle name="표준 3 2 2 7" xfId="3777"/>
    <cellStyle name="표준 3 2 2 8" xfId="3778"/>
    <cellStyle name="표준 3 2 2 9" xfId="3779"/>
    <cellStyle name="표준 3 2 20" xfId="3780"/>
    <cellStyle name="표준 3 2 21" xfId="3781"/>
    <cellStyle name="표준 3 2 22" xfId="3782"/>
    <cellStyle name="표준 3 2 23" xfId="3783"/>
    <cellStyle name="표준 3 2 24" xfId="3784"/>
    <cellStyle name="표준 3 2 25" xfId="3785"/>
    <cellStyle name="표준 3 2 26" xfId="3786"/>
    <cellStyle name="표준 3 2 27" xfId="3787"/>
    <cellStyle name="표준 3 2 28" xfId="3788"/>
    <cellStyle name="표준 3 2 29" xfId="3789"/>
    <cellStyle name="표준 3 2 3" xfId="126"/>
    <cellStyle name="표준 3 2 3 2" xfId="3790"/>
    <cellStyle name="표준 3 2 30" xfId="3791"/>
    <cellStyle name="표준 3 2 31" xfId="3792"/>
    <cellStyle name="표준 3 2 32" xfId="3793"/>
    <cellStyle name="표준 3 2 33" xfId="3794"/>
    <cellStyle name="표준 3 2 34" xfId="3795"/>
    <cellStyle name="표준 3 2 35" xfId="3796"/>
    <cellStyle name="표준 3 2 36" xfId="3797"/>
    <cellStyle name="표준 3 2 37" xfId="3798"/>
    <cellStyle name="표준 3 2 38" xfId="3799"/>
    <cellStyle name="표준 3 2 39" xfId="3800"/>
    <cellStyle name="표준 3 2 4" xfId="127"/>
    <cellStyle name="표준 3 2 4 2" xfId="128"/>
    <cellStyle name="표준 3 2 4 3" xfId="3801"/>
    <cellStyle name="표준 3 2 40" xfId="3802"/>
    <cellStyle name="표준 3 2 41" xfId="3803"/>
    <cellStyle name="표준 3 2 42" xfId="3804"/>
    <cellStyle name="표준 3 2 43" xfId="3805"/>
    <cellStyle name="표준 3 2 44" xfId="3806"/>
    <cellStyle name="표준 3 2 45" xfId="3807"/>
    <cellStyle name="표준 3 2 46" xfId="3808"/>
    <cellStyle name="표준 3 2 47" xfId="3809"/>
    <cellStyle name="표준 3 2 48" xfId="3810"/>
    <cellStyle name="표준 3 2 49" xfId="3811"/>
    <cellStyle name="표준 3 2 5" xfId="129"/>
    <cellStyle name="표준 3 2 5 2" xfId="130"/>
    <cellStyle name="표준 3 2 5 3" xfId="3812"/>
    <cellStyle name="표준 3 2 6" xfId="131"/>
    <cellStyle name="표준 3 2 6 2" xfId="3813"/>
    <cellStyle name="표준 3 2 7" xfId="3814"/>
    <cellStyle name="표준 3 2 8" xfId="3815"/>
    <cellStyle name="표준 3 2 9" xfId="3816"/>
    <cellStyle name="표준 3 20" xfId="3817"/>
    <cellStyle name="표준 3 20 2" xfId="3818"/>
    <cellStyle name="표준 3 20 3" xfId="3819"/>
    <cellStyle name="표준 3 20 4" xfId="3820"/>
    <cellStyle name="표준 3 21" xfId="3821"/>
    <cellStyle name="표준 3 21 2" xfId="3822"/>
    <cellStyle name="표준 3 21 3" xfId="3823"/>
    <cellStyle name="표준 3 21 4" xfId="3824"/>
    <cellStyle name="표준 3 22" xfId="3825"/>
    <cellStyle name="표준 3 22 2" xfId="3826"/>
    <cellStyle name="표준 3 22 3" xfId="3827"/>
    <cellStyle name="표준 3 22 4" xfId="3828"/>
    <cellStyle name="표준 3 23" xfId="3829"/>
    <cellStyle name="표준 3 23 2" xfId="3830"/>
    <cellStyle name="표준 3 23 3" xfId="3831"/>
    <cellStyle name="표준 3 23 4" xfId="3832"/>
    <cellStyle name="표준 3 24" xfId="3833"/>
    <cellStyle name="표준 3 24 2" xfId="3834"/>
    <cellStyle name="표준 3 24 3" xfId="3835"/>
    <cellStyle name="표준 3 24 4" xfId="3836"/>
    <cellStyle name="표준 3 25" xfId="3837"/>
    <cellStyle name="표준 3 25 2" xfId="3838"/>
    <cellStyle name="표준 3 25 3" xfId="3839"/>
    <cellStyle name="표준 3 25 4" xfId="3840"/>
    <cellStyle name="표준 3 26" xfId="3841"/>
    <cellStyle name="표준 3 26 2" xfId="3842"/>
    <cellStyle name="표준 3 26 3" xfId="3843"/>
    <cellStyle name="표준 3 26 4" xfId="3844"/>
    <cellStyle name="표준 3 27" xfId="3845"/>
    <cellStyle name="표준 3 27 2" xfId="3846"/>
    <cellStyle name="표준 3 27 3" xfId="3847"/>
    <cellStyle name="표준 3 27 4" xfId="3848"/>
    <cellStyle name="표준 3 28" xfId="3849"/>
    <cellStyle name="표준 3 28 2" xfId="3850"/>
    <cellStyle name="표준 3 28 3" xfId="3851"/>
    <cellStyle name="표준 3 28 4" xfId="3852"/>
    <cellStyle name="표준 3 29" xfId="3853"/>
    <cellStyle name="표준 3 29 2" xfId="3854"/>
    <cellStyle name="표준 3 29 3" xfId="3855"/>
    <cellStyle name="표준 3 29 4" xfId="3856"/>
    <cellStyle name="표준 3 3" xfId="132"/>
    <cellStyle name="표준 3 3 2" xfId="133"/>
    <cellStyle name="표준 3 3 2 2" xfId="134"/>
    <cellStyle name="표준 3 3 2 3" xfId="135"/>
    <cellStyle name="표준 3 3 2 3 2" xfId="136"/>
    <cellStyle name="표준 3 3 2 4" xfId="137"/>
    <cellStyle name="표준 3 3 2 5" xfId="3857"/>
    <cellStyle name="표준 3 3 3" xfId="138"/>
    <cellStyle name="표준 3 3 3 2" xfId="3858"/>
    <cellStyle name="표준 3 3 4" xfId="139"/>
    <cellStyle name="표준 3 3 4 2" xfId="140"/>
    <cellStyle name="표준 3 3 4 3" xfId="3859"/>
    <cellStyle name="표준 3 3 5" xfId="141"/>
    <cellStyle name="표준 3 3 5 2" xfId="142"/>
    <cellStyle name="표준 3 3 5 3" xfId="3860"/>
    <cellStyle name="표준 3 3 6" xfId="143"/>
    <cellStyle name="표준 3 3 6 2" xfId="3861"/>
    <cellStyle name="표준 3 3 7" xfId="3862"/>
    <cellStyle name="표준 3 30" xfId="3863"/>
    <cellStyle name="표준 3 30 2" xfId="3864"/>
    <cellStyle name="표준 3 30 3" xfId="3865"/>
    <cellStyle name="표준 3 30 4" xfId="3866"/>
    <cellStyle name="표준 3 31" xfId="3867"/>
    <cellStyle name="표준 3 31 2" xfId="3868"/>
    <cellStyle name="표준 3 31 3" xfId="3869"/>
    <cellStyle name="표준 3 31 4" xfId="3870"/>
    <cellStyle name="표준 3 32" xfId="3871"/>
    <cellStyle name="표준 3 32 2" xfId="3872"/>
    <cellStyle name="표준 3 32 3" xfId="3873"/>
    <cellStyle name="표준 3 32 4" xfId="3874"/>
    <cellStyle name="표준 3 33" xfId="3875"/>
    <cellStyle name="표준 3 33 2" xfId="3876"/>
    <cellStyle name="표준 3 33 3" xfId="3877"/>
    <cellStyle name="표준 3 33 4" xfId="3878"/>
    <cellStyle name="표준 3 34" xfId="3879"/>
    <cellStyle name="표준 3 34 2" xfId="3880"/>
    <cellStyle name="표준 3 34 3" xfId="3881"/>
    <cellStyle name="표준 3 34 4" xfId="3882"/>
    <cellStyle name="표준 3 35" xfId="3883"/>
    <cellStyle name="표준 3 35 2" xfId="3884"/>
    <cellStyle name="표준 3 35 3" xfId="3885"/>
    <cellStyle name="표준 3 35 4" xfId="3886"/>
    <cellStyle name="표준 3 36" xfId="3887"/>
    <cellStyle name="표준 3 36 2" xfId="3888"/>
    <cellStyle name="표준 3 36 3" xfId="3889"/>
    <cellStyle name="표준 3 36 4" xfId="3890"/>
    <cellStyle name="표준 3 37" xfId="3891"/>
    <cellStyle name="표준 3 37 2" xfId="3892"/>
    <cellStyle name="표준 3 37 3" xfId="3893"/>
    <cellStyle name="표준 3 37 4" xfId="3894"/>
    <cellStyle name="표준 3 38" xfId="3895"/>
    <cellStyle name="표준 3 38 2" xfId="3896"/>
    <cellStyle name="표준 3 38 3" xfId="3897"/>
    <cellStyle name="표준 3 38 4" xfId="3898"/>
    <cellStyle name="표준 3 39" xfId="3899"/>
    <cellStyle name="표준 3 39 2" xfId="3900"/>
    <cellStyle name="표준 3 39 3" xfId="3901"/>
    <cellStyle name="표준 3 39 4" xfId="3902"/>
    <cellStyle name="표준 3 4" xfId="144"/>
    <cellStyle name="표준 3 4 2" xfId="145"/>
    <cellStyle name="표준 3 4 2 2" xfId="146"/>
    <cellStyle name="표준 3 4 2 3" xfId="147"/>
    <cellStyle name="표준 3 4 2 3 2" xfId="148"/>
    <cellStyle name="표준 3 4 2 4" xfId="149"/>
    <cellStyle name="표준 3 4 2 5" xfId="3903"/>
    <cellStyle name="표준 3 4 3" xfId="150"/>
    <cellStyle name="표준 3 4 3 2" xfId="3904"/>
    <cellStyle name="표준 3 4 4" xfId="151"/>
    <cellStyle name="표준 3 4 4 2" xfId="152"/>
    <cellStyle name="표준 3 4 4 3" xfId="3905"/>
    <cellStyle name="표준 3 4 5" xfId="153"/>
    <cellStyle name="표준 3 4 5 2" xfId="154"/>
    <cellStyle name="표준 3 4 5 3" xfId="3906"/>
    <cellStyle name="표준 3 4 6" xfId="155"/>
    <cellStyle name="표준 3 4 6 2" xfId="3907"/>
    <cellStyle name="표준 3 4 7" xfId="3908"/>
    <cellStyle name="표준 3 40" xfId="3909"/>
    <cellStyle name="표준 3 40 2" xfId="3910"/>
    <cellStyle name="표준 3 40 3" xfId="3911"/>
    <cellStyle name="표준 3 40 4" xfId="3912"/>
    <cellStyle name="표준 3 41" xfId="3913"/>
    <cellStyle name="표준 3 41 2" xfId="3914"/>
    <cellStyle name="표준 3 41 3" xfId="3915"/>
    <cellStyle name="표준 3 41 4" xfId="3916"/>
    <cellStyle name="표준 3 42" xfId="3917"/>
    <cellStyle name="표준 3 42 2" xfId="3918"/>
    <cellStyle name="표준 3 42 3" xfId="3919"/>
    <cellStyle name="표준 3 42 4" xfId="3920"/>
    <cellStyle name="표준 3 43" xfId="3921"/>
    <cellStyle name="표준 3 44" xfId="3922"/>
    <cellStyle name="표준 3 45" xfId="3923"/>
    <cellStyle name="표준 3 46" xfId="3924"/>
    <cellStyle name="표준 3 47" xfId="3925"/>
    <cellStyle name="표준 3 48" xfId="3926"/>
    <cellStyle name="표준 3 49" xfId="3927"/>
    <cellStyle name="표준 3 5" xfId="156"/>
    <cellStyle name="표준 3 5 2" xfId="157"/>
    <cellStyle name="표준 3 5 2 2" xfId="3928"/>
    <cellStyle name="표준 3 5 3" xfId="158"/>
    <cellStyle name="표준 3 5 3 2" xfId="159"/>
    <cellStyle name="표준 3 5 3 3" xfId="3929"/>
    <cellStyle name="표준 3 5 4" xfId="160"/>
    <cellStyle name="표준 3 5 4 2" xfId="3930"/>
    <cellStyle name="표준 3 5 5" xfId="3931"/>
    <cellStyle name="표준 3 5 6" xfId="3932"/>
    <cellStyle name="표준 3 5 7" xfId="3933"/>
    <cellStyle name="표준 3 50" xfId="3934"/>
    <cellStyle name="표준 3 51" xfId="3935"/>
    <cellStyle name="표준 3 52" xfId="3936"/>
    <cellStyle name="표준 3 53" xfId="3937"/>
    <cellStyle name="표준 3 54" xfId="3938"/>
    <cellStyle name="표준 3 55" xfId="3939"/>
    <cellStyle name="표준 3 56" xfId="3940"/>
    <cellStyle name="표준 3 57" xfId="3941"/>
    <cellStyle name="표준 3 58" xfId="3942"/>
    <cellStyle name="표준 3 59" xfId="3943"/>
    <cellStyle name="표준 3 6" xfId="161"/>
    <cellStyle name="표준 3 6 2" xfId="3944"/>
    <cellStyle name="표준 3 6 3" xfId="3945"/>
    <cellStyle name="표준 3 6 4" xfId="3946"/>
    <cellStyle name="표준 3 6 5" xfId="3947"/>
    <cellStyle name="표준 3 6 6" xfId="3948"/>
    <cellStyle name="표준 3 6 7" xfId="3949"/>
    <cellStyle name="표준 3 60" xfId="3950"/>
    <cellStyle name="표준 3 61" xfId="3951"/>
    <cellStyle name="표준 3 62" xfId="3952"/>
    <cellStyle name="표준 3 63" xfId="3953"/>
    <cellStyle name="표준 3 64" xfId="3706"/>
    <cellStyle name="표준 3 7" xfId="162"/>
    <cellStyle name="표준 3 7 2" xfId="163"/>
    <cellStyle name="표준 3 7 2 2" xfId="3955"/>
    <cellStyle name="표준 3 7 3" xfId="3956"/>
    <cellStyle name="표준 3 7 4" xfId="3957"/>
    <cellStyle name="표준 3 7 5" xfId="3958"/>
    <cellStyle name="표준 3 7 6" xfId="3959"/>
    <cellStyle name="표준 3 7 7" xfId="3960"/>
    <cellStyle name="표준 3 7 8" xfId="3954"/>
    <cellStyle name="표준 3 8" xfId="164"/>
    <cellStyle name="표준 3 8 2" xfId="165"/>
    <cellStyle name="표준 3 8 2 2" xfId="3962"/>
    <cellStyle name="표준 3 8 3" xfId="3963"/>
    <cellStyle name="표준 3 8 4" xfId="3964"/>
    <cellStyle name="표준 3 8 5" xfId="3965"/>
    <cellStyle name="표준 3 8 6" xfId="3966"/>
    <cellStyle name="표준 3 8 7" xfId="3967"/>
    <cellStyle name="표준 3 8 8" xfId="3961"/>
    <cellStyle name="표준 3 9" xfId="166"/>
    <cellStyle name="표준 3 9 2" xfId="3969"/>
    <cellStyle name="표준 3 9 3" xfId="3970"/>
    <cellStyle name="표준 3 9 4" xfId="3971"/>
    <cellStyle name="표준 3 9 5" xfId="3972"/>
    <cellStyle name="표준 3 9 6" xfId="3973"/>
    <cellStyle name="표준 3 9 7" xfId="3974"/>
    <cellStyle name="표준 3 9 8" xfId="3968"/>
    <cellStyle name="표준 30" xfId="3975"/>
    <cellStyle name="표준 31" xfId="3976"/>
    <cellStyle name="표준 32" xfId="3977"/>
    <cellStyle name="표준 33" xfId="3978"/>
    <cellStyle name="표준 34" xfId="3979"/>
    <cellStyle name="표준 35" xfId="3980"/>
    <cellStyle name="표준 35 2" xfId="3981"/>
    <cellStyle name="표준 35 3" xfId="3982"/>
    <cellStyle name="표준 35 4" xfId="3983"/>
    <cellStyle name="표준 35 5" xfId="3984"/>
    <cellStyle name="표준 35 6" xfId="3985"/>
    <cellStyle name="표준 35 7" xfId="3986"/>
    <cellStyle name="표준 36" xfId="3987"/>
    <cellStyle name="표준 37" xfId="3988"/>
    <cellStyle name="표준 38" xfId="3989"/>
    <cellStyle name="표준 38 2" xfId="3990"/>
    <cellStyle name="표준 38 3" xfId="3991"/>
    <cellStyle name="표준 38 3 2" xfId="3992"/>
    <cellStyle name="표준 38 3 3" xfId="3993"/>
    <cellStyle name="표준 38 3 4" xfId="3994"/>
    <cellStyle name="표준 38 3 5" xfId="3995"/>
    <cellStyle name="표준 38 4" xfId="3996"/>
    <cellStyle name="표준 38 5" xfId="3997"/>
    <cellStyle name="표준 38 6" xfId="3998"/>
    <cellStyle name="표준 38 7" xfId="3999"/>
    <cellStyle name="표준 38 8" xfId="4000"/>
    <cellStyle name="표준 39" xfId="4001"/>
    <cellStyle name="표준 4" xfId="5"/>
    <cellStyle name="표준 4 10" xfId="4003"/>
    <cellStyle name="표준 4 11" xfId="4004"/>
    <cellStyle name="표준 4 12" xfId="4005"/>
    <cellStyle name="표준 4 12 2" xfId="4006"/>
    <cellStyle name="표준 4 12 3" xfId="4007"/>
    <cellStyle name="표준 4 12 4" xfId="4008"/>
    <cellStyle name="표준 4 12 5" xfId="4009"/>
    <cellStyle name="표준 4 12 6" xfId="4010"/>
    <cellStyle name="표준 4 12 7" xfId="4011"/>
    <cellStyle name="표준 4 13" xfId="4012"/>
    <cellStyle name="표준 4 14" xfId="4013"/>
    <cellStyle name="표준 4 15" xfId="4014"/>
    <cellStyle name="표준 4 16" xfId="4015"/>
    <cellStyle name="표준 4 17" xfId="4016"/>
    <cellStyle name="표준 4 18" xfId="4017"/>
    <cellStyle name="표준 4 19" xfId="4018"/>
    <cellStyle name="표준 4 2" xfId="167"/>
    <cellStyle name="표준 4 2 2" xfId="4020"/>
    <cellStyle name="표준 4 2 2 2" xfId="4021"/>
    <cellStyle name="표준 4 2 2 3" xfId="4022"/>
    <cellStyle name="표준 4 2 2 4" xfId="4023"/>
    <cellStyle name="표준 4 2 3" xfId="4024"/>
    <cellStyle name="표준 4 2 4" xfId="4025"/>
    <cellStyle name="표준 4 2 5" xfId="4019"/>
    <cellStyle name="표준 4 20" xfId="4026"/>
    <cellStyle name="표준 4 21" xfId="4027"/>
    <cellStyle name="표준 4 22" xfId="4028"/>
    <cellStyle name="표준 4 23" xfId="4029"/>
    <cellStyle name="표준 4 24" xfId="4030"/>
    <cellStyle name="표준 4 25" xfId="4031"/>
    <cellStyle name="표준 4 26" xfId="4032"/>
    <cellStyle name="표준 4 27" xfId="4033"/>
    <cellStyle name="표준 4 28" xfId="4034"/>
    <cellStyle name="표준 4 29" xfId="4035"/>
    <cellStyle name="표준 4 3" xfId="169"/>
    <cellStyle name="표준 4 3 2" xfId="4037"/>
    <cellStyle name="표준 4 3 2 2" xfId="4038"/>
    <cellStyle name="표준 4 3 2 3" xfId="4039"/>
    <cellStyle name="표준 4 3 2 4" xfId="4040"/>
    <cellStyle name="표준 4 3 3" xfId="4041"/>
    <cellStyle name="표준 4 3 4" xfId="4042"/>
    <cellStyle name="표준 4 3 5" xfId="4036"/>
    <cellStyle name="표준 4 30" xfId="4043"/>
    <cellStyle name="표준 4 31" xfId="4044"/>
    <cellStyle name="표준 4 32" xfId="4045"/>
    <cellStyle name="표준 4 33" xfId="4046"/>
    <cellStyle name="표준 4 34" xfId="4047"/>
    <cellStyle name="표준 4 35" xfId="4048"/>
    <cellStyle name="표준 4 36" xfId="4049"/>
    <cellStyle name="표준 4 37" xfId="4050"/>
    <cellStyle name="표준 4 38" xfId="4051"/>
    <cellStyle name="표준 4 39" xfId="4052"/>
    <cellStyle name="표준 4 4" xfId="4053"/>
    <cellStyle name="표준 4 40" xfId="4054"/>
    <cellStyle name="표준 4 41" xfId="4055"/>
    <cellStyle name="표준 4 42" xfId="4056"/>
    <cellStyle name="표준 4 43" xfId="4057"/>
    <cellStyle name="표준 4 44" xfId="4058"/>
    <cellStyle name="표준 4 45" xfId="4059"/>
    <cellStyle name="표준 4 46" xfId="4060"/>
    <cellStyle name="표준 4 47" xfId="4002"/>
    <cellStyle name="표준 4 5" xfId="4061"/>
    <cellStyle name="표준 4 6" xfId="4062"/>
    <cellStyle name="표준 4 7" xfId="4063"/>
    <cellStyle name="표준 4 8" xfId="4064"/>
    <cellStyle name="표준 4 9" xfId="4065"/>
    <cellStyle name="표준 40" xfId="4066"/>
    <cellStyle name="표준 41" xfId="4067"/>
    <cellStyle name="표준 42" xfId="4068"/>
    <cellStyle name="표준 43" xfId="4069"/>
    <cellStyle name="표준 44" xfId="4070"/>
    <cellStyle name="표준 45" xfId="4071"/>
    <cellStyle name="표준 46" xfId="4072"/>
    <cellStyle name="표준 47" xfId="4073"/>
    <cellStyle name="표준 48" xfId="4074"/>
    <cellStyle name="표준 49" xfId="4075"/>
    <cellStyle name="표준 5" xfId="6"/>
    <cellStyle name="표준 5 2" xfId="4077"/>
    <cellStyle name="표준 5 2 2" xfId="4078"/>
    <cellStyle name="표준 5 2 3" xfId="4079"/>
    <cellStyle name="표준 5 2 4" xfId="4080"/>
    <cellStyle name="표준 5 3" xfId="4081"/>
    <cellStyle name="표준 5 4" xfId="4082"/>
    <cellStyle name="표준 5 5" xfId="4083"/>
    <cellStyle name="표준 5 6" xfId="4076"/>
    <cellStyle name="표준 50" xfId="4084"/>
    <cellStyle name="표준 51" xfId="4085"/>
    <cellStyle name="표준 52" xfId="267"/>
    <cellStyle name="표준 52 2" xfId="4086"/>
    <cellStyle name="표준 54" xfId="4087"/>
    <cellStyle name="표준 55" xfId="4088"/>
    <cellStyle name="표준 56" xfId="4089"/>
    <cellStyle name="표준 57" xfId="4090"/>
    <cellStyle name="표준 58" xfId="4091"/>
    <cellStyle name="표준 59" xfId="4092"/>
    <cellStyle name="표준 6" xfId="19"/>
    <cellStyle name="표준 6 10" xfId="4094"/>
    <cellStyle name="표준 6 11" xfId="4095"/>
    <cellStyle name="표준 6 12" xfId="4093"/>
    <cellStyle name="표준 6 2" xfId="4096"/>
    <cellStyle name="표준 6 2 2" xfId="4097"/>
    <cellStyle name="표준 6 2 3" xfId="4098"/>
    <cellStyle name="표준 6 2 4" xfId="4099"/>
    <cellStyle name="표준 6 3" xfId="4100"/>
    <cellStyle name="표준 6 3 2" xfId="4101"/>
    <cellStyle name="표준 6 3 3" xfId="4102"/>
    <cellStyle name="표준 6 3 4" xfId="4103"/>
    <cellStyle name="표준 6 4" xfId="4104"/>
    <cellStyle name="표준 6 5" xfId="4105"/>
    <cellStyle name="표준 6 6" xfId="4106"/>
    <cellStyle name="표준 6 7" xfId="4107"/>
    <cellStyle name="표준 6 8" xfId="4108"/>
    <cellStyle name="표준 6 9" xfId="4109"/>
    <cellStyle name="표준 60" xfId="4110"/>
    <cellStyle name="표준 61" xfId="4111"/>
    <cellStyle name="표준 62" xfId="4112"/>
    <cellStyle name="표준 63" xfId="4113"/>
    <cellStyle name="표준 64" xfId="4114"/>
    <cellStyle name="표준 65" xfId="4115"/>
    <cellStyle name="표준 66" xfId="4116"/>
    <cellStyle name="표준 67" xfId="4117"/>
    <cellStyle name="표준 67 2" xfId="4118"/>
    <cellStyle name="표준 67 3" xfId="4119"/>
    <cellStyle name="표준 67 4" xfId="4120"/>
    <cellStyle name="표준 67 5" xfId="4121"/>
    <cellStyle name="표준 68" xfId="4122"/>
    <cellStyle name="표준 69" xfId="4123"/>
    <cellStyle name="표준 69 2" xfId="4124"/>
    <cellStyle name="표준 69 3" xfId="4125"/>
    <cellStyle name="표준 69 4" xfId="4126"/>
    <cellStyle name="표준 69 5" xfId="4127"/>
    <cellStyle name="표준 7" xfId="18"/>
    <cellStyle name="표준 7 10" xfId="4129"/>
    <cellStyle name="표준 7 11" xfId="4128"/>
    <cellStyle name="표준 7 2" xfId="4130"/>
    <cellStyle name="표준 7 3" xfId="4131"/>
    <cellStyle name="표준 7 4" xfId="4132"/>
    <cellStyle name="표준 7 5" xfId="4133"/>
    <cellStyle name="표준 7 6" xfId="4134"/>
    <cellStyle name="표준 7 7" xfId="4135"/>
    <cellStyle name="표준 7 8" xfId="4136"/>
    <cellStyle name="표준 7 9" xfId="4137"/>
    <cellStyle name="표준 70" xfId="4138"/>
    <cellStyle name="표준 70 2" xfId="4139"/>
    <cellStyle name="표준 70 3" xfId="4140"/>
    <cellStyle name="표준 70 4" xfId="4141"/>
    <cellStyle name="표준 70 5" xfId="4142"/>
    <cellStyle name="표준 71" xfId="4143"/>
    <cellStyle name="표준 75" xfId="4144"/>
    <cellStyle name="표준 75 2" xfId="4145"/>
    <cellStyle name="표준 75 3" xfId="4146"/>
    <cellStyle name="표준 8" xfId="20"/>
    <cellStyle name="표준 8 10" xfId="4148"/>
    <cellStyle name="표준 8 11" xfId="4149"/>
    <cellStyle name="표준 8 12" xfId="4147"/>
    <cellStyle name="표준 8 2" xfId="4150"/>
    <cellStyle name="표준 8 2 2" xfId="4151"/>
    <cellStyle name="표준 8 2 3" xfId="4152"/>
    <cellStyle name="표준 8 2 4" xfId="4153"/>
    <cellStyle name="표준 8 3" xfId="4154"/>
    <cellStyle name="표준 8 3 2" xfId="4155"/>
    <cellStyle name="표준 8 3 3" xfId="4156"/>
    <cellStyle name="표준 8 3 4" xfId="4157"/>
    <cellStyle name="표준 8 4" xfId="4158"/>
    <cellStyle name="표준 8 5" xfId="4159"/>
    <cellStyle name="표준 8 6" xfId="4160"/>
    <cellStyle name="표준 8 7" xfId="4161"/>
    <cellStyle name="표준 8 8" xfId="4162"/>
    <cellStyle name="표준 8 9" xfId="4163"/>
    <cellStyle name="표준 9" xfId="21"/>
    <cellStyle name="표준 9 10" xfId="4165"/>
    <cellStyle name="표준 9 11" xfId="4164"/>
    <cellStyle name="표준 9 2" xfId="4166"/>
    <cellStyle name="표준 9 3" xfId="4167"/>
    <cellStyle name="표준 9 4" xfId="4168"/>
    <cellStyle name="표준 9 5" xfId="4169"/>
    <cellStyle name="표준 9 6" xfId="4170"/>
    <cellStyle name="표준 9 7" xfId="4171"/>
    <cellStyle name="표준 9 8" xfId="4172"/>
    <cellStyle name="표준 9 9" xfId="4173"/>
    <cellStyle name="하이퍼링크 2" xfId="7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D9D9"/>
      <color rgb="FFC7E6A4"/>
      <color rgb="FFDCE6F1"/>
      <color rgb="FF0000FF"/>
      <color rgb="FFFF3399"/>
      <color rgb="FFFFBDBD"/>
      <color rgb="FF99FFCC"/>
      <color rgb="FFFF6699"/>
      <color rgb="FFCCE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10</xdr:col>
      <xdr:colOff>504825</xdr:colOff>
      <xdr:row>35</xdr:row>
      <xdr:rowOff>165093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914900"/>
          <a:ext cx="5991225" cy="3517893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17</xdr:row>
      <xdr:rowOff>142875</xdr:rowOff>
    </xdr:from>
    <xdr:to>
      <xdr:col>2</xdr:col>
      <xdr:colOff>609600</xdr:colOff>
      <xdr:row>21</xdr:row>
      <xdr:rowOff>200025</xdr:rowOff>
    </xdr:to>
    <xdr:sp macro="" textlink="">
      <xdr:nvSpPr>
        <xdr:cNvPr id="3" name="포인트가 7개인 별 2"/>
        <xdr:cNvSpPr/>
      </xdr:nvSpPr>
      <xdr:spPr>
        <a:xfrm>
          <a:off x="1019175" y="3133725"/>
          <a:ext cx="962025" cy="895350"/>
        </a:xfrm>
        <a:prstGeom prst="star7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304800</xdr:colOff>
      <xdr:row>3</xdr:row>
      <xdr:rowOff>120463</xdr:rowOff>
    </xdr:to>
    <xdr:sp macro="" textlink="">
      <xdr:nvSpPr>
        <xdr:cNvPr id="4" name="AutoShape 1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/>
        <xdr:cNvSpPr>
          <a:spLocks noChangeAspect="1" noChangeArrowheads="1"/>
        </xdr:cNvSpPr>
      </xdr:nvSpPr>
      <xdr:spPr bwMode="auto">
        <a:xfrm>
          <a:off x="11944350" y="1762125"/>
          <a:ext cx="304800" cy="31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44824</xdr:colOff>
      <xdr:row>6</xdr:row>
      <xdr:rowOff>100853</xdr:rowOff>
    </xdr:from>
    <xdr:to>
      <xdr:col>28</xdr:col>
      <xdr:colOff>312330</xdr:colOff>
      <xdr:row>34</xdr:row>
      <xdr:rowOff>52566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5074" y="2624978"/>
          <a:ext cx="6973106" cy="529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78441</xdr:colOff>
      <xdr:row>37</xdr:row>
      <xdr:rowOff>0</xdr:rowOff>
    </xdr:from>
    <xdr:to>
      <xdr:col>28</xdr:col>
      <xdr:colOff>300319</xdr:colOff>
      <xdr:row>59</xdr:row>
      <xdr:rowOff>81652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691" y="8439150"/>
          <a:ext cx="6927478" cy="4348852"/>
        </a:xfrm>
        <a:prstGeom prst="rect">
          <a:avLst/>
        </a:prstGeom>
      </xdr:spPr>
    </xdr:pic>
    <xdr:clientData/>
  </xdr:twoCellAnchor>
  <xdr:twoCellAnchor>
    <xdr:from>
      <xdr:col>11</xdr:col>
      <xdr:colOff>85725</xdr:colOff>
      <xdr:row>19</xdr:row>
      <xdr:rowOff>123825</xdr:rowOff>
    </xdr:from>
    <xdr:to>
      <xdr:col>16</xdr:col>
      <xdr:colOff>495300</xdr:colOff>
      <xdr:row>28</xdr:row>
      <xdr:rowOff>123825</xdr:rowOff>
    </xdr:to>
    <xdr:cxnSp macro="">
      <xdr:nvCxnSpPr>
        <xdr:cNvPr id="8" name="直接箭头连接符 7"/>
        <xdr:cNvCxnSpPr/>
      </xdr:nvCxnSpPr>
      <xdr:spPr>
        <a:xfrm flipV="1">
          <a:off x="6781800" y="3771900"/>
          <a:ext cx="3457575" cy="1714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6"/>
  <sheetViews>
    <sheetView workbookViewId="0">
      <selection activeCell="G17" sqref="G17"/>
    </sheetView>
  </sheetViews>
  <sheetFormatPr defaultColWidth="9" defaultRowHeight="15"/>
  <cols>
    <col min="1" max="1" width="9" style="11"/>
    <col min="2" max="2" width="37.28515625" style="42" customWidth="1"/>
    <col min="3" max="3" width="11.140625" style="11" customWidth="1"/>
    <col min="4" max="4" width="56" style="11" customWidth="1"/>
    <col min="5" max="6" width="14.42578125" style="11" customWidth="1"/>
    <col min="7" max="16384" width="9" style="11"/>
  </cols>
  <sheetData>
    <row r="2" spans="2:6" ht="23.25">
      <c r="B2" s="40" t="s">
        <v>4</v>
      </c>
    </row>
    <row r="4" spans="2:6" ht="34.5">
      <c r="B4" s="41" t="s">
        <v>0</v>
      </c>
      <c r="C4" s="2" t="s">
        <v>5</v>
      </c>
      <c r="D4" s="2" t="s">
        <v>6</v>
      </c>
      <c r="E4" s="3" t="s">
        <v>7</v>
      </c>
      <c r="F4" s="3" t="s">
        <v>23</v>
      </c>
    </row>
    <row r="5" spans="2:6" ht="45.75">
      <c r="B5" s="107" t="s">
        <v>559</v>
      </c>
      <c r="C5" s="108" t="s">
        <v>560</v>
      </c>
      <c r="D5" s="109" t="s">
        <v>561</v>
      </c>
      <c r="E5" s="110" t="s">
        <v>562</v>
      </c>
      <c r="F5" s="127" t="s">
        <v>542</v>
      </c>
    </row>
    <row r="6" spans="2:6" ht="30">
      <c r="B6" s="107" t="s">
        <v>576</v>
      </c>
      <c r="C6" s="108" t="s">
        <v>577</v>
      </c>
      <c r="D6" s="135" t="s">
        <v>578</v>
      </c>
      <c r="E6" s="110" t="s">
        <v>562</v>
      </c>
      <c r="F6" s="127" t="s">
        <v>542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C63"/>
  <sheetViews>
    <sheetView workbookViewId="0">
      <selection activeCell="M14" sqref="M14"/>
    </sheetView>
  </sheetViews>
  <sheetFormatPr defaultRowHeight="15"/>
  <cols>
    <col min="1" max="1" width="9" style="4" customWidth="1"/>
  </cols>
  <sheetData>
    <row r="2" spans="2:29">
      <c r="B2" s="1"/>
      <c r="C2" s="6"/>
      <c r="D2" s="6"/>
      <c r="E2" s="6"/>
      <c r="F2" s="6"/>
      <c r="J2" s="6"/>
      <c r="K2" s="6"/>
    </row>
    <row r="3" spans="2:29" s="5" customFormat="1">
      <c r="B3" s="28"/>
      <c r="J3" s="28"/>
      <c r="R3" s="136" t="s">
        <v>563</v>
      </c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</row>
    <row r="4" spans="2:29" s="5" customFormat="1" ht="16.5" thickBot="1">
      <c r="B4" s="28"/>
      <c r="D4" s="123" t="s">
        <v>9</v>
      </c>
      <c r="E4" s="123"/>
      <c r="J4" s="28"/>
    </row>
    <row r="5" spans="2:29" s="5" customFormat="1">
      <c r="B5" s="28"/>
      <c r="D5" s="138" t="s">
        <v>526</v>
      </c>
      <c r="E5" s="139"/>
      <c r="R5" s="17" t="s">
        <v>564</v>
      </c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2:29" s="5" customFormat="1">
      <c r="B6" s="28"/>
      <c r="D6" s="29" t="s">
        <v>18</v>
      </c>
      <c r="E6" s="30" t="s">
        <v>26</v>
      </c>
    </row>
    <row r="7" spans="2:29" s="5" customFormat="1">
      <c r="B7" s="28"/>
      <c r="D7" s="140" t="s">
        <v>568</v>
      </c>
      <c r="E7" s="141"/>
      <c r="F7" s="28" t="s">
        <v>538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2:29" s="5" customFormat="1">
      <c r="B8" s="28"/>
      <c r="D8" s="140" t="s">
        <v>25</v>
      </c>
      <c r="E8" s="141"/>
      <c r="F8" s="28" t="s">
        <v>11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2:29" s="5" customFormat="1" ht="15.75" thickBot="1">
      <c r="B9" s="28"/>
      <c r="D9" s="75" t="s">
        <v>1</v>
      </c>
      <c r="E9" s="76" t="s">
        <v>566</v>
      </c>
      <c r="F9" s="28" t="s">
        <v>567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2:29" s="5" customFormat="1">
      <c r="B10" s="28"/>
      <c r="C10"/>
      <c r="D10"/>
      <c r="E10"/>
      <c r="F10"/>
      <c r="G10"/>
      <c r="H10"/>
      <c r="I10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2:29" s="5" customFormat="1">
      <c r="B11" s="28"/>
      <c r="C11" s="6"/>
      <c r="D11" s="6"/>
      <c r="E11" s="6"/>
      <c r="F11" s="6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2:29" s="5" customFormat="1">
      <c r="B12" s="28"/>
      <c r="C12" s="6"/>
      <c r="D12" s="6"/>
      <c r="E12" s="6"/>
      <c r="F12" s="6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2:29" s="5" customFormat="1">
      <c r="C13" s="6"/>
      <c r="D13" s="6"/>
      <c r="E13" s="6"/>
      <c r="F13" s="6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2:29" s="5" customFormat="1">
      <c r="C14" s="6"/>
      <c r="D14" s="6"/>
      <c r="E14" s="6"/>
      <c r="F14" s="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2:29" s="5" customFormat="1">
      <c r="C15" s="6"/>
      <c r="D15" s="6"/>
      <c r="E15" s="6"/>
      <c r="F15" s="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2:29"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5"/>
    </row>
    <row r="17" spans="18:29"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5"/>
    </row>
    <row r="18" spans="18:29"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5"/>
    </row>
    <row r="19" spans="18:29"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5"/>
    </row>
    <row r="20" spans="18:29"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5"/>
    </row>
    <row r="21" spans="18:29"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5"/>
    </row>
    <row r="22" spans="18:29"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5"/>
    </row>
    <row r="23" spans="18:29"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5"/>
    </row>
    <row r="24" spans="18:29"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5"/>
    </row>
    <row r="25" spans="18:29"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5"/>
    </row>
    <row r="26" spans="18:29"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5"/>
    </row>
    <row r="27" spans="18:29"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5"/>
    </row>
    <row r="28" spans="18:29"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5"/>
    </row>
    <row r="29" spans="18:29"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5"/>
    </row>
    <row r="30" spans="18:29"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5"/>
    </row>
    <row r="31" spans="18:29"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5"/>
    </row>
    <row r="32" spans="18:29"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5"/>
    </row>
    <row r="33" spans="3:29"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5"/>
    </row>
    <row r="34" spans="3:29"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5"/>
    </row>
    <row r="35" spans="3:29"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5"/>
    </row>
    <row r="36" spans="3:29">
      <c r="R36" s="17" t="s">
        <v>565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5"/>
    </row>
    <row r="37" spans="3:29"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3:29" ht="21" customHeight="1">
      <c r="C38" s="137" t="s">
        <v>19</v>
      </c>
      <c r="D38" s="137"/>
      <c r="E38" s="137"/>
      <c r="F38" s="137"/>
      <c r="G38" s="137"/>
      <c r="H38" s="137"/>
      <c r="I38" s="137"/>
      <c r="J38" s="137"/>
      <c r="K38" s="137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3:29">
      <c r="C39" s="137"/>
      <c r="D39" s="137"/>
      <c r="E39" s="137"/>
      <c r="F39" s="137"/>
      <c r="G39" s="137"/>
      <c r="H39" s="137"/>
      <c r="I39" s="137"/>
      <c r="J39" s="137"/>
      <c r="K39" s="137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3:29">
      <c r="C40" s="137"/>
      <c r="D40" s="137"/>
      <c r="E40" s="137"/>
      <c r="F40" s="137"/>
      <c r="G40" s="137"/>
      <c r="H40" s="137"/>
      <c r="I40" s="137"/>
      <c r="J40" s="137"/>
      <c r="K40" s="137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3:29"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3:29"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3:29"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3:29"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3:29"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3:29"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3:29"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3:29"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8:29"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8:29"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8:29"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8:29"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8:29"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8:29"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8:29"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8:29"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8:29"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8:29"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8:29"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8:29"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8:29"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8:29"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8:29"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</sheetData>
  <mergeCells count="5">
    <mergeCell ref="R3:AC3"/>
    <mergeCell ref="C38:K40"/>
    <mergeCell ref="D5:E5"/>
    <mergeCell ref="D7:E7"/>
    <mergeCell ref="D8:E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51"/>
  <sheetViews>
    <sheetView topLeftCell="A279" workbookViewId="0">
      <selection activeCell="A302" sqref="A302:C311"/>
    </sheetView>
  </sheetViews>
  <sheetFormatPr defaultColWidth="9" defaultRowHeight="12.75"/>
  <cols>
    <col min="1" max="1" width="9" style="15"/>
    <col min="2" max="16384" width="9" style="16"/>
  </cols>
  <sheetData>
    <row r="2" spans="1:5" ht="13.5" thickBot="1"/>
    <row r="3" spans="1:5">
      <c r="B3" s="142" t="s">
        <v>525</v>
      </c>
      <c r="C3" s="143"/>
    </row>
    <row r="4" spans="1:5" ht="13.5" thickBot="1">
      <c r="B4" s="96" t="s">
        <v>18</v>
      </c>
      <c r="C4" s="97" t="s">
        <v>26</v>
      </c>
    </row>
    <row r="5" spans="1:5" ht="15">
      <c r="B5" s="128" t="s">
        <v>24</v>
      </c>
      <c r="C5" s="129" t="s">
        <v>45</v>
      </c>
      <c r="D5" s="28" t="s">
        <v>10</v>
      </c>
      <c r="E5" s="5"/>
    </row>
    <row r="6" spans="1:5" ht="15">
      <c r="B6" s="71" t="s">
        <v>8</v>
      </c>
      <c r="C6" s="74" t="s">
        <v>543</v>
      </c>
      <c r="D6" s="28" t="s">
        <v>21</v>
      </c>
      <c r="E6" s="5"/>
    </row>
    <row r="7" spans="1:5" ht="15">
      <c r="B7" s="71" t="s">
        <v>8</v>
      </c>
      <c r="C7" s="72" t="s">
        <v>159</v>
      </c>
      <c r="D7" s="28" t="s">
        <v>158</v>
      </c>
      <c r="E7" s="5"/>
    </row>
    <row r="8" spans="1:5" ht="15">
      <c r="B8" s="73" t="s">
        <v>160</v>
      </c>
      <c r="C8" s="95" t="s">
        <v>3</v>
      </c>
      <c r="D8" s="133" t="s">
        <v>48</v>
      </c>
      <c r="E8" s="134"/>
    </row>
    <row r="9" spans="1:5" ht="15">
      <c r="B9" s="144" t="s">
        <v>161</v>
      </c>
      <c r="C9" s="145"/>
      <c r="D9" s="133" t="s">
        <v>569</v>
      </c>
      <c r="E9" s="134"/>
    </row>
    <row r="10" spans="1:5" ht="15">
      <c r="B10" s="92" t="s">
        <v>303</v>
      </c>
      <c r="C10" s="93" t="s">
        <v>305</v>
      </c>
      <c r="D10" s="118"/>
      <c r="E10" s="118"/>
    </row>
    <row r="11" spans="1:5" ht="15">
      <c r="B11" s="92" t="s">
        <v>304</v>
      </c>
      <c r="C11" s="94" t="s">
        <v>8</v>
      </c>
      <c r="D11" s="118"/>
      <c r="E11" s="118"/>
    </row>
    <row r="12" spans="1:5" ht="15.75" thickBot="1">
      <c r="B12" s="75" t="s">
        <v>22</v>
      </c>
      <c r="C12" s="130" t="s">
        <v>218</v>
      </c>
      <c r="D12" s="28" t="s">
        <v>219</v>
      </c>
      <c r="E12" s="5"/>
    </row>
    <row r="13" spans="1:5">
      <c r="B13" s="98" t="s">
        <v>291</v>
      </c>
      <c r="C13" s="99" t="s">
        <v>83</v>
      </c>
    </row>
    <row r="14" spans="1:5">
      <c r="A14" s="89"/>
      <c r="B14" s="98" t="s">
        <v>292</v>
      </c>
      <c r="C14" s="99" t="s">
        <v>428</v>
      </c>
    </row>
    <row r="15" spans="1:5">
      <c r="A15" s="89"/>
      <c r="B15" s="98" t="s">
        <v>293</v>
      </c>
      <c r="C15" s="99" t="s">
        <v>306</v>
      </c>
    </row>
    <row r="16" spans="1:5">
      <c r="A16" s="90"/>
      <c r="B16" s="98" t="s">
        <v>293</v>
      </c>
      <c r="C16" s="99" t="s">
        <v>307</v>
      </c>
    </row>
    <row r="17" spans="1:3">
      <c r="A17" s="89"/>
      <c r="B17" s="98" t="s">
        <v>293</v>
      </c>
      <c r="C17" s="99" t="s">
        <v>92</v>
      </c>
    </row>
    <row r="18" spans="1:3">
      <c r="A18" s="90"/>
      <c r="B18" s="98" t="s">
        <v>293</v>
      </c>
      <c r="C18" s="99" t="s">
        <v>92</v>
      </c>
    </row>
    <row r="19" spans="1:3">
      <c r="A19" s="89"/>
      <c r="B19" s="98" t="s">
        <v>293</v>
      </c>
      <c r="C19" s="99" t="s">
        <v>92</v>
      </c>
    </row>
    <row r="20" spans="1:3">
      <c r="A20" s="90"/>
      <c r="B20" s="98" t="s">
        <v>293</v>
      </c>
      <c r="C20" s="99" t="s">
        <v>92</v>
      </c>
    </row>
    <row r="21" spans="1:3">
      <c r="A21" s="90"/>
      <c r="B21" s="98" t="s">
        <v>293</v>
      </c>
      <c r="C21" s="99" t="s">
        <v>92</v>
      </c>
    </row>
    <row r="22" spans="1:3">
      <c r="A22" s="89"/>
      <c r="B22" s="98" t="s">
        <v>293</v>
      </c>
      <c r="C22" s="99" t="s">
        <v>92</v>
      </c>
    </row>
    <row r="23" spans="1:3">
      <c r="A23" s="90"/>
      <c r="B23" s="98" t="s">
        <v>293</v>
      </c>
      <c r="C23" s="99" t="s">
        <v>308</v>
      </c>
    </row>
    <row r="24" spans="1:3">
      <c r="A24" s="89"/>
      <c r="B24" s="98" t="s">
        <v>293</v>
      </c>
      <c r="C24" s="99" t="s">
        <v>309</v>
      </c>
    </row>
    <row r="25" spans="1:3">
      <c r="A25" s="90"/>
      <c r="B25" s="98" t="s">
        <v>293</v>
      </c>
      <c r="C25" s="99" t="s">
        <v>429</v>
      </c>
    </row>
    <row r="26" spans="1:3">
      <c r="A26" s="89"/>
      <c r="B26" s="98" t="s">
        <v>293</v>
      </c>
      <c r="C26" s="99" t="s">
        <v>310</v>
      </c>
    </row>
    <row r="27" spans="1:3">
      <c r="A27" s="90"/>
      <c r="B27" s="98" t="s">
        <v>293</v>
      </c>
      <c r="C27" s="99" t="s">
        <v>147</v>
      </c>
    </row>
    <row r="28" spans="1:3">
      <c r="A28" s="89"/>
      <c r="B28" s="98" t="s">
        <v>293</v>
      </c>
      <c r="C28" s="99" t="s">
        <v>302</v>
      </c>
    </row>
    <row r="29" spans="1:3">
      <c r="A29" s="90"/>
      <c r="B29" s="98" t="s">
        <v>293</v>
      </c>
      <c r="C29" s="99" t="s">
        <v>306</v>
      </c>
    </row>
    <row r="30" spans="1:3">
      <c r="A30" s="90"/>
      <c r="B30" s="98" t="s">
        <v>293</v>
      </c>
      <c r="C30" s="99" t="s">
        <v>311</v>
      </c>
    </row>
    <row r="31" spans="1:3">
      <c r="A31" s="90"/>
      <c r="B31" s="98" t="s">
        <v>293</v>
      </c>
      <c r="C31" s="99" t="s">
        <v>312</v>
      </c>
    </row>
    <row r="32" spans="1:3">
      <c r="A32" s="89"/>
      <c r="B32" s="98" t="s">
        <v>293</v>
      </c>
      <c r="C32" s="99" t="s">
        <v>313</v>
      </c>
    </row>
    <row r="33" spans="1:3">
      <c r="A33" s="90"/>
      <c r="B33" s="98" t="s">
        <v>293</v>
      </c>
      <c r="C33" s="99" t="s">
        <v>430</v>
      </c>
    </row>
    <row r="34" spans="1:3">
      <c r="A34" s="90"/>
      <c r="B34" s="98" t="s">
        <v>293</v>
      </c>
      <c r="C34" s="99" t="s">
        <v>314</v>
      </c>
    </row>
    <row r="35" spans="1:3">
      <c r="A35" s="90"/>
      <c r="B35" s="98" t="s">
        <v>293</v>
      </c>
      <c r="C35" s="99" t="s">
        <v>315</v>
      </c>
    </row>
    <row r="36" spans="1:3">
      <c r="A36" s="89"/>
      <c r="B36" s="98" t="s">
        <v>293</v>
      </c>
      <c r="C36" s="99" t="s">
        <v>431</v>
      </c>
    </row>
    <row r="37" spans="1:3">
      <c r="A37" s="89"/>
      <c r="B37" s="98" t="s">
        <v>293</v>
      </c>
      <c r="C37" s="99" t="s">
        <v>316</v>
      </c>
    </row>
    <row r="38" spans="1:3">
      <c r="A38" s="89"/>
      <c r="B38" s="98" t="s">
        <v>293</v>
      </c>
      <c r="C38" s="99" t="s">
        <v>317</v>
      </c>
    </row>
    <row r="39" spans="1:3">
      <c r="A39" s="89"/>
      <c r="B39" s="98" t="s">
        <v>293</v>
      </c>
      <c r="C39" s="99" t="s">
        <v>318</v>
      </c>
    </row>
    <row r="40" spans="1:3">
      <c r="A40" s="90"/>
      <c r="B40" s="98" t="s">
        <v>293</v>
      </c>
      <c r="C40" s="99" t="s">
        <v>432</v>
      </c>
    </row>
    <row r="41" spans="1:3">
      <c r="A41" s="89"/>
      <c r="B41" s="98" t="s">
        <v>293</v>
      </c>
      <c r="C41" s="99" t="s">
        <v>316</v>
      </c>
    </row>
    <row r="42" spans="1:3">
      <c r="A42" s="90"/>
      <c r="B42" s="98" t="s">
        <v>293</v>
      </c>
      <c r="C42" s="99" t="s">
        <v>319</v>
      </c>
    </row>
    <row r="43" spans="1:3">
      <c r="A43" s="89"/>
      <c r="B43" s="98" t="s">
        <v>293</v>
      </c>
      <c r="C43" s="99" t="s">
        <v>318</v>
      </c>
    </row>
    <row r="44" spans="1:3">
      <c r="A44" s="90"/>
      <c r="B44" s="98" t="s">
        <v>293</v>
      </c>
      <c r="C44" s="99" t="s">
        <v>433</v>
      </c>
    </row>
    <row r="45" spans="1:3">
      <c r="A45" s="90"/>
      <c r="B45" s="98" t="s">
        <v>293</v>
      </c>
      <c r="C45" s="99" t="s">
        <v>154</v>
      </c>
    </row>
    <row r="46" spans="1:3">
      <c r="A46" s="90"/>
      <c r="B46" s="98" t="s">
        <v>293</v>
      </c>
      <c r="C46" s="99" t="s">
        <v>320</v>
      </c>
    </row>
    <row r="47" spans="1:3">
      <c r="A47" s="90"/>
      <c r="B47" s="98" t="s">
        <v>293</v>
      </c>
      <c r="C47" s="99" t="s">
        <v>318</v>
      </c>
    </row>
    <row r="48" spans="1:3">
      <c r="A48" s="90"/>
      <c r="B48" s="98" t="s">
        <v>293</v>
      </c>
      <c r="C48" s="99" t="s">
        <v>434</v>
      </c>
    </row>
    <row r="49" spans="1:3">
      <c r="A49" s="90"/>
      <c r="B49" s="98" t="s">
        <v>293</v>
      </c>
      <c r="C49" s="99" t="s">
        <v>435</v>
      </c>
    </row>
    <row r="50" spans="1:3">
      <c r="A50" s="90"/>
      <c r="B50" s="98" t="s">
        <v>293</v>
      </c>
      <c r="C50" s="99" t="s">
        <v>318</v>
      </c>
    </row>
    <row r="51" spans="1:3">
      <c r="A51" s="90"/>
      <c r="B51" s="98" t="s">
        <v>293</v>
      </c>
      <c r="C51" s="99" t="s">
        <v>321</v>
      </c>
    </row>
    <row r="52" spans="1:3">
      <c r="A52" s="90"/>
      <c r="B52" s="98" t="s">
        <v>293</v>
      </c>
      <c r="C52" s="99" t="s">
        <v>436</v>
      </c>
    </row>
    <row r="53" spans="1:3">
      <c r="A53" s="90"/>
      <c r="B53" s="98" t="s">
        <v>293</v>
      </c>
      <c r="C53" s="99" t="s">
        <v>147</v>
      </c>
    </row>
    <row r="54" spans="1:3">
      <c r="A54" s="90"/>
      <c r="B54" s="98" t="s">
        <v>293</v>
      </c>
      <c r="C54" s="99" t="s">
        <v>437</v>
      </c>
    </row>
    <row r="55" spans="1:3">
      <c r="A55" s="90"/>
      <c r="B55" s="98" t="s">
        <v>293</v>
      </c>
      <c r="C55" s="99" t="s">
        <v>306</v>
      </c>
    </row>
    <row r="56" spans="1:3">
      <c r="A56" s="90"/>
      <c r="B56" s="98" t="s">
        <v>293</v>
      </c>
      <c r="C56" s="99" t="s">
        <v>322</v>
      </c>
    </row>
    <row r="57" spans="1:3">
      <c r="A57" s="90"/>
      <c r="B57" s="98" t="s">
        <v>293</v>
      </c>
      <c r="C57" s="99" t="s">
        <v>438</v>
      </c>
    </row>
    <row r="58" spans="1:3">
      <c r="A58" s="90"/>
      <c r="B58" s="98" t="s">
        <v>293</v>
      </c>
      <c r="C58" s="99" t="s">
        <v>323</v>
      </c>
    </row>
    <row r="59" spans="1:3">
      <c r="A59" s="90"/>
      <c r="B59" s="98" t="s">
        <v>293</v>
      </c>
      <c r="C59" s="99" t="s">
        <v>324</v>
      </c>
    </row>
    <row r="60" spans="1:3">
      <c r="A60" s="90"/>
      <c r="B60" s="98" t="s">
        <v>293</v>
      </c>
      <c r="C60" s="99" t="s">
        <v>431</v>
      </c>
    </row>
    <row r="61" spans="1:3">
      <c r="A61" s="90"/>
      <c r="B61" s="98" t="s">
        <v>293</v>
      </c>
      <c r="C61" s="99" t="s">
        <v>325</v>
      </c>
    </row>
    <row r="62" spans="1:3">
      <c r="A62" s="90"/>
      <c r="B62" s="98" t="s">
        <v>293</v>
      </c>
      <c r="C62" s="99" t="s">
        <v>326</v>
      </c>
    </row>
    <row r="63" spans="1:3">
      <c r="A63" s="90"/>
      <c r="B63" s="98" t="s">
        <v>293</v>
      </c>
      <c r="C63" s="99" t="s">
        <v>327</v>
      </c>
    </row>
    <row r="64" spans="1:3">
      <c r="A64" s="90"/>
      <c r="B64" s="98" t="s">
        <v>293</v>
      </c>
      <c r="C64" s="99" t="s">
        <v>328</v>
      </c>
    </row>
    <row r="65" spans="1:3">
      <c r="A65" s="90"/>
      <c r="B65" s="98" t="s">
        <v>293</v>
      </c>
      <c r="C65" s="99" t="s">
        <v>329</v>
      </c>
    </row>
    <row r="66" spans="1:3">
      <c r="A66" s="90"/>
      <c r="B66" s="98" t="s">
        <v>293</v>
      </c>
      <c r="C66" s="99" t="s">
        <v>330</v>
      </c>
    </row>
    <row r="67" spans="1:3">
      <c r="A67" s="90"/>
      <c r="B67" s="98" t="s">
        <v>293</v>
      </c>
      <c r="C67" s="99" t="s">
        <v>331</v>
      </c>
    </row>
    <row r="68" spans="1:3">
      <c r="A68" s="90"/>
      <c r="B68" s="98" t="s">
        <v>293</v>
      </c>
      <c r="C68" s="99" t="s">
        <v>439</v>
      </c>
    </row>
    <row r="69" spans="1:3">
      <c r="A69" s="90"/>
      <c r="B69" s="98" t="s">
        <v>293</v>
      </c>
      <c r="C69" s="99" t="s">
        <v>332</v>
      </c>
    </row>
    <row r="70" spans="1:3">
      <c r="A70" s="90"/>
      <c r="B70" s="98" t="s">
        <v>293</v>
      </c>
      <c r="C70" s="99" t="s">
        <v>333</v>
      </c>
    </row>
    <row r="71" spans="1:3">
      <c r="A71" s="90"/>
      <c r="B71" s="98" t="s">
        <v>293</v>
      </c>
      <c r="C71" s="99" t="s">
        <v>334</v>
      </c>
    </row>
    <row r="72" spans="1:3">
      <c r="A72" s="90"/>
      <c r="B72" s="98" t="s">
        <v>293</v>
      </c>
      <c r="C72" s="99" t="s">
        <v>440</v>
      </c>
    </row>
    <row r="73" spans="1:3">
      <c r="A73" s="90"/>
      <c r="B73" s="98" t="s">
        <v>293</v>
      </c>
      <c r="C73" s="99" t="s">
        <v>441</v>
      </c>
    </row>
    <row r="74" spans="1:3">
      <c r="A74" s="90"/>
      <c r="B74" s="98" t="s">
        <v>293</v>
      </c>
      <c r="C74" s="99" t="s">
        <v>54</v>
      </c>
    </row>
    <row r="75" spans="1:3">
      <c r="A75" s="90"/>
      <c r="B75" s="98" t="s">
        <v>293</v>
      </c>
      <c r="C75" s="99" t="s">
        <v>442</v>
      </c>
    </row>
    <row r="76" spans="1:3">
      <c r="A76" s="90"/>
      <c r="B76" s="98" t="s">
        <v>293</v>
      </c>
      <c r="C76" s="99" t="s">
        <v>335</v>
      </c>
    </row>
    <row r="77" spans="1:3">
      <c r="A77" s="90"/>
      <c r="B77" s="98" t="s">
        <v>293</v>
      </c>
      <c r="C77" s="99" t="s">
        <v>443</v>
      </c>
    </row>
    <row r="78" spans="1:3">
      <c r="A78" s="90"/>
      <c r="B78" s="98" t="s">
        <v>293</v>
      </c>
      <c r="C78" s="99" t="s">
        <v>444</v>
      </c>
    </row>
    <row r="79" spans="1:3">
      <c r="A79" s="90"/>
      <c r="B79" s="98" t="s">
        <v>293</v>
      </c>
      <c r="C79" s="99" t="s">
        <v>445</v>
      </c>
    </row>
    <row r="80" spans="1:3">
      <c r="A80" s="90"/>
      <c r="B80" s="98" t="s">
        <v>293</v>
      </c>
      <c r="C80" s="99" t="s">
        <v>336</v>
      </c>
    </row>
    <row r="81" spans="1:3">
      <c r="A81" s="90"/>
      <c r="B81" s="98" t="s">
        <v>293</v>
      </c>
      <c r="C81" s="99" t="s">
        <v>337</v>
      </c>
    </row>
    <row r="82" spans="1:3">
      <c r="A82" s="90"/>
      <c r="B82" s="98" t="s">
        <v>293</v>
      </c>
      <c r="C82" s="99" t="s">
        <v>446</v>
      </c>
    </row>
    <row r="83" spans="1:3">
      <c r="A83" s="90"/>
      <c r="B83" s="98" t="s">
        <v>293</v>
      </c>
      <c r="C83" s="99" t="s">
        <v>447</v>
      </c>
    </row>
    <row r="84" spans="1:3">
      <c r="A84" s="90"/>
      <c r="B84" s="98" t="s">
        <v>293</v>
      </c>
      <c r="C84" s="99" t="s">
        <v>338</v>
      </c>
    </row>
    <row r="85" spans="1:3">
      <c r="A85" s="90"/>
      <c r="B85" s="98" t="s">
        <v>293</v>
      </c>
      <c r="C85" s="99" t="s">
        <v>448</v>
      </c>
    </row>
    <row r="86" spans="1:3">
      <c r="A86" s="90"/>
      <c r="B86" s="98" t="s">
        <v>293</v>
      </c>
      <c r="C86" s="99" t="s">
        <v>302</v>
      </c>
    </row>
    <row r="87" spans="1:3">
      <c r="A87" s="90"/>
      <c r="B87" s="98" t="s">
        <v>293</v>
      </c>
      <c r="C87" s="99" t="s">
        <v>339</v>
      </c>
    </row>
    <row r="88" spans="1:3">
      <c r="A88" s="90"/>
      <c r="B88" s="98" t="s">
        <v>293</v>
      </c>
      <c r="C88" s="99" t="s">
        <v>326</v>
      </c>
    </row>
    <row r="89" spans="1:3">
      <c r="A89" s="90"/>
      <c r="B89" s="98" t="s">
        <v>293</v>
      </c>
      <c r="C89" s="99" t="s">
        <v>340</v>
      </c>
    </row>
    <row r="90" spans="1:3">
      <c r="A90" s="90"/>
      <c r="B90" s="98" t="s">
        <v>293</v>
      </c>
      <c r="C90" s="99" t="s">
        <v>332</v>
      </c>
    </row>
    <row r="91" spans="1:3">
      <c r="A91" s="90"/>
      <c r="B91" s="98" t="s">
        <v>293</v>
      </c>
      <c r="C91" s="99" t="s">
        <v>333</v>
      </c>
    </row>
    <row r="92" spans="1:3">
      <c r="A92" s="90"/>
      <c r="B92" s="98" t="s">
        <v>293</v>
      </c>
      <c r="C92" s="99" t="s">
        <v>341</v>
      </c>
    </row>
    <row r="93" spans="1:3">
      <c r="A93" s="90"/>
      <c r="B93" s="98" t="s">
        <v>293</v>
      </c>
      <c r="C93" s="99" t="s">
        <v>449</v>
      </c>
    </row>
    <row r="94" spans="1:3">
      <c r="A94" s="90"/>
      <c r="B94" s="98" t="s">
        <v>293</v>
      </c>
      <c r="C94" s="99" t="s">
        <v>441</v>
      </c>
    </row>
    <row r="95" spans="1:3">
      <c r="A95" s="90"/>
      <c r="B95" s="98" t="s">
        <v>293</v>
      </c>
      <c r="C95" s="99" t="s">
        <v>54</v>
      </c>
    </row>
    <row r="96" spans="1:3">
      <c r="A96" s="90"/>
      <c r="B96" s="98" t="s">
        <v>293</v>
      </c>
      <c r="C96" s="99" t="s">
        <v>442</v>
      </c>
    </row>
    <row r="97" spans="1:3">
      <c r="A97" s="90"/>
      <c r="B97" s="98" t="s">
        <v>293</v>
      </c>
      <c r="C97" s="99" t="s">
        <v>342</v>
      </c>
    </row>
    <row r="98" spans="1:3">
      <c r="A98" s="90"/>
      <c r="B98" s="98" t="s">
        <v>293</v>
      </c>
      <c r="C98" s="99" t="s">
        <v>443</v>
      </c>
    </row>
    <row r="99" spans="1:3">
      <c r="A99" s="90"/>
      <c r="B99" s="98" t="s">
        <v>293</v>
      </c>
      <c r="C99" s="99" t="s">
        <v>343</v>
      </c>
    </row>
    <row r="100" spans="1:3">
      <c r="A100" s="90"/>
      <c r="B100" s="98" t="s">
        <v>293</v>
      </c>
      <c r="C100" s="99" t="s">
        <v>445</v>
      </c>
    </row>
    <row r="101" spans="1:3">
      <c r="A101" s="90"/>
      <c r="B101" s="98" t="s">
        <v>293</v>
      </c>
      <c r="C101" s="99" t="s">
        <v>344</v>
      </c>
    </row>
    <row r="102" spans="1:3">
      <c r="A102" s="90"/>
      <c r="B102" s="98" t="s">
        <v>293</v>
      </c>
      <c r="C102" s="99" t="s">
        <v>345</v>
      </c>
    </row>
    <row r="103" spans="1:3">
      <c r="A103" s="90"/>
      <c r="B103" s="98" t="s">
        <v>293</v>
      </c>
      <c r="C103" s="99" t="s">
        <v>446</v>
      </c>
    </row>
    <row r="104" spans="1:3">
      <c r="A104" s="90"/>
      <c r="B104" s="98" t="s">
        <v>293</v>
      </c>
      <c r="C104" s="99" t="s">
        <v>447</v>
      </c>
    </row>
    <row r="105" spans="1:3">
      <c r="A105" s="90"/>
      <c r="B105" s="98" t="s">
        <v>293</v>
      </c>
      <c r="C105" s="99" t="s">
        <v>346</v>
      </c>
    </row>
    <row r="106" spans="1:3">
      <c r="A106" s="90"/>
      <c r="B106" s="98" t="s">
        <v>293</v>
      </c>
      <c r="C106" s="99" t="s">
        <v>450</v>
      </c>
    </row>
    <row r="107" spans="1:3">
      <c r="A107" s="90"/>
      <c r="B107" s="98" t="s">
        <v>293</v>
      </c>
      <c r="C107" s="99" t="s">
        <v>347</v>
      </c>
    </row>
    <row r="108" spans="1:3">
      <c r="A108" s="90"/>
      <c r="B108" s="98" t="s">
        <v>293</v>
      </c>
      <c r="C108" s="99" t="s">
        <v>348</v>
      </c>
    </row>
    <row r="109" spans="1:3">
      <c r="A109" s="90"/>
      <c r="B109" s="98" t="s">
        <v>293</v>
      </c>
      <c r="C109" s="99" t="s">
        <v>302</v>
      </c>
    </row>
    <row r="110" spans="1:3">
      <c r="A110" s="90"/>
      <c r="B110" s="98" t="s">
        <v>293</v>
      </c>
      <c r="C110" s="99" t="s">
        <v>349</v>
      </c>
    </row>
    <row r="111" spans="1:3">
      <c r="A111" s="90"/>
      <c r="B111" s="98" t="s">
        <v>293</v>
      </c>
      <c r="C111" s="99" t="s">
        <v>429</v>
      </c>
    </row>
    <row r="112" spans="1:3">
      <c r="A112" s="90"/>
      <c r="B112" s="98" t="s">
        <v>293</v>
      </c>
      <c r="C112" s="99" t="s">
        <v>350</v>
      </c>
    </row>
    <row r="113" spans="1:3">
      <c r="A113" s="90"/>
      <c r="B113" s="98" t="s">
        <v>293</v>
      </c>
      <c r="C113" s="99" t="s">
        <v>451</v>
      </c>
    </row>
    <row r="114" spans="1:3">
      <c r="A114" s="90"/>
      <c r="B114" s="98" t="s">
        <v>293</v>
      </c>
      <c r="C114" s="99" t="s">
        <v>452</v>
      </c>
    </row>
    <row r="115" spans="1:3">
      <c r="A115" s="90"/>
      <c r="B115" s="98" t="s">
        <v>293</v>
      </c>
      <c r="C115" s="99" t="s">
        <v>431</v>
      </c>
    </row>
    <row r="116" spans="1:3">
      <c r="A116" s="90"/>
      <c r="B116" s="98" t="s">
        <v>293</v>
      </c>
      <c r="C116" s="99" t="s">
        <v>351</v>
      </c>
    </row>
    <row r="117" spans="1:3">
      <c r="A117" s="90"/>
      <c r="B117" s="98" t="s">
        <v>293</v>
      </c>
      <c r="C117" s="99" t="s">
        <v>352</v>
      </c>
    </row>
    <row r="118" spans="1:3">
      <c r="A118" s="90"/>
      <c r="B118" s="98" t="s">
        <v>293</v>
      </c>
      <c r="C118" s="99" t="s">
        <v>353</v>
      </c>
    </row>
    <row r="119" spans="1:3">
      <c r="A119" s="90"/>
      <c r="B119" s="98" t="s">
        <v>293</v>
      </c>
      <c r="C119" s="99" t="s">
        <v>453</v>
      </c>
    </row>
    <row r="120" spans="1:3">
      <c r="A120" s="90"/>
      <c r="B120" s="98" t="s">
        <v>293</v>
      </c>
      <c r="C120" s="99" t="s">
        <v>454</v>
      </c>
    </row>
    <row r="121" spans="1:3">
      <c r="A121" s="90"/>
      <c r="B121" s="98" t="s">
        <v>293</v>
      </c>
      <c r="C121" s="99" t="s">
        <v>306</v>
      </c>
    </row>
    <row r="122" spans="1:3">
      <c r="A122" s="90"/>
      <c r="B122" s="98" t="s">
        <v>293</v>
      </c>
      <c r="C122" s="99" t="s">
        <v>354</v>
      </c>
    </row>
    <row r="123" spans="1:3">
      <c r="A123" s="90"/>
      <c r="B123" s="98" t="s">
        <v>293</v>
      </c>
      <c r="C123" s="99" t="s">
        <v>355</v>
      </c>
    </row>
    <row r="124" spans="1:3">
      <c r="A124" s="90"/>
      <c r="B124" s="98" t="s">
        <v>293</v>
      </c>
      <c r="C124" s="99" t="s">
        <v>455</v>
      </c>
    </row>
    <row r="125" spans="1:3">
      <c r="A125" s="90"/>
      <c r="B125" s="98" t="s">
        <v>293</v>
      </c>
      <c r="C125" s="99" t="s">
        <v>356</v>
      </c>
    </row>
    <row r="126" spans="1:3">
      <c r="A126" s="90"/>
      <c r="B126" s="98" t="s">
        <v>293</v>
      </c>
      <c r="C126" s="99" t="s">
        <v>357</v>
      </c>
    </row>
    <row r="127" spans="1:3">
      <c r="A127" s="90"/>
      <c r="B127" s="98" t="s">
        <v>293</v>
      </c>
      <c r="C127" s="99" t="s">
        <v>358</v>
      </c>
    </row>
    <row r="128" spans="1:3">
      <c r="A128" s="90"/>
      <c r="B128" s="98" t="s">
        <v>293</v>
      </c>
      <c r="C128" s="99" t="s">
        <v>456</v>
      </c>
    </row>
    <row r="129" spans="1:3">
      <c r="A129" s="90"/>
      <c r="B129" s="98" t="s">
        <v>293</v>
      </c>
      <c r="C129" s="99" t="s">
        <v>455</v>
      </c>
    </row>
    <row r="130" spans="1:3">
      <c r="A130" s="90"/>
      <c r="B130" s="98" t="s">
        <v>293</v>
      </c>
      <c r="C130" s="99" t="s">
        <v>359</v>
      </c>
    </row>
    <row r="131" spans="1:3">
      <c r="A131" s="90"/>
      <c r="B131" s="98" t="s">
        <v>293</v>
      </c>
      <c r="C131" s="99" t="s">
        <v>358</v>
      </c>
    </row>
    <row r="132" spans="1:3">
      <c r="A132" s="90"/>
      <c r="B132" s="98" t="s">
        <v>293</v>
      </c>
      <c r="C132" s="99" t="s">
        <v>457</v>
      </c>
    </row>
    <row r="133" spans="1:3">
      <c r="A133" s="90"/>
      <c r="B133" s="98" t="s">
        <v>293</v>
      </c>
      <c r="C133" s="99" t="s">
        <v>429</v>
      </c>
    </row>
    <row r="134" spans="1:3">
      <c r="A134" s="90"/>
      <c r="B134" s="98" t="s">
        <v>293</v>
      </c>
      <c r="C134" s="99" t="s">
        <v>360</v>
      </c>
    </row>
    <row r="135" spans="1:3">
      <c r="A135" s="90"/>
      <c r="B135" s="98" t="s">
        <v>293</v>
      </c>
      <c r="C135" s="99" t="s">
        <v>306</v>
      </c>
    </row>
    <row r="136" spans="1:3">
      <c r="A136" s="90"/>
      <c r="B136" s="98" t="s">
        <v>293</v>
      </c>
      <c r="C136" s="99" t="s">
        <v>361</v>
      </c>
    </row>
    <row r="137" spans="1:3">
      <c r="A137" s="90"/>
      <c r="B137" s="98" t="s">
        <v>293</v>
      </c>
      <c r="C137" s="99" t="s">
        <v>429</v>
      </c>
    </row>
    <row r="138" spans="1:3">
      <c r="A138" s="90"/>
      <c r="B138" s="98" t="s">
        <v>293</v>
      </c>
      <c r="C138" s="99" t="s">
        <v>362</v>
      </c>
    </row>
    <row r="139" spans="1:3">
      <c r="A139" s="90"/>
      <c r="B139" s="98" t="s">
        <v>293</v>
      </c>
      <c r="C139" s="99" t="s">
        <v>358</v>
      </c>
    </row>
    <row r="140" spans="1:3">
      <c r="A140" s="90"/>
      <c r="B140" s="98" t="s">
        <v>293</v>
      </c>
      <c r="C140" s="99" t="s">
        <v>458</v>
      </c>
    </row>
    <row r="141" spans="1:3">
      <c r="A141" s="90"/>
      <c r="B141" s="98" t="s">
        <v>293</v>
      </c>
      <c r="C141" s="99" t="s">
        <v>363</v>
      </c>
    </row>
    <row r="142" spans="1:3">
      <c r="A142" s="90"/>
      <c r="B142" s="98" t="s">
        <v>293</v>
      </c>
      <c r="C142" s="99" t="s">
        <v>364</v>
      </c>
    </row>
    <row r="143" spans="1:3">
      <c r="A143" s="90"/>
      <c r="B143" s="98" t="s">
        <v>293</v>
      </c>
      <c r="C143" s="99" t="s">
        <v>302</v>
      </c>
    </row>
    <row r="144" spans="1:3">
      <c r="A144" s="90"/>
      <c r="B144" s="98" t="s">
        <v>293</v>
      </c>
      <c r="C144" s="99" t="s">
        <v>365</v>
      </c>
    </row>
    <row r="145" spans="1:3">
      <c r="A145" s="90"/>
      <c r="B145" s="98" t="s">
        <v>293</v>
      </c>
      <c r="C145" s="99" t="s">
        <v>459</v>
      </c>
    </row>
    <row r="146" spans="1:3">
      <c r="A146" s="90"/>
      <c r="B146" s="98" t="s">
        <v>293</v>
      </c>
      <c r="C146" s="99" t="s">
        <v>366</v>
      </c>
    </row>
    <row r="147" spans="1:3">
      <c r="A147" s="90"/>
      <c r="B147" s="98" t="s">
        <v>293</v>
      </c>
      <c r="C147" s="99" t="s">
        <v>460</v>
      </c>
    </row>
    <row r="148" spans="1:3">
      <c r="A148" s="90"/>
      <c r="B148" s="98" t="s">
        <v>293</v>
      </c>
      <c r="C148" s="99" t="s">
        <v>355</v>
      </c>
    </row>
    <row r="149" spans="1:3">
      <c r="A149" s="90"/>
      <c r="B149" s="98" t="s">
        <v>293</v>
      </c>
      <c r="C149" s="99" t="s">
        <v>461</v>
      </c>
    </row>
    <row r="150" spans="1:3">
      <c r="A150" s="90"/>
      <c r="B150" s="98" t="s">
        <v>293</v>
      </c>
      <c r="C150" s="99" t="s">
        <v>367</v>
      </c>
    </row>
    <row r="151" spans="1:3">
      <c r="A151" s="90"/>
      <c r="B151" s="98" t="s">
        <v>293</v>
      </c>
      <c r="C151" s="99" t="s">
        <v>368</v>
      </c>
    </row>
    <row r="152" spans="1:3">
      <c r="A152" s="90"/>
      <c r="B152" s="98" t="s">
        <v>293</v>
      </c>
      <c r="C152" s="99" t="s">
        <v>462</v>
      </c>
    </row>
    <row r="153" spans="1:3">
      <c r="A153" s="90"/>
      <c r="B153" s="98" t="s">
        <v>293</v>
      </c>
      <c r="C153" s="99" t="s">
        <v>369</v>
      </c>
    </row>
    <row r="154" spans="1:3">
      <c r="A154" s="90"/>
      <c r="B154" s="98" t="s">
        <v>293</v>
      </c>
      <c r="C154" s="99" t="s">
        <v>370</v>
      </c>
    </row>
    <row r="155" spans="1:3">
      <c r="A155" s="90"/>
      <c r="B155" s="98" t="s">
        <v>293</v>
      </c>
      <c r="C155" s="99" t="s">
        <v>463</v>
      </c>
    </row>
    <row r="156" spans="1:3">
      <c r="A156" s="90"/>
      <c r="B156" s="98" t="s">
        <v>293</v>
      </c>
      <c r="C156" s="99" t="s">
        <v>464</v>
      </c>
    </row>
    <row r="157" spans="1:3">
      <c r="A157" s="90"/>
      <c r="B157" s="98" t="s">
        <v>293</v>
      </c>
      <c r="C157" s="99" t="s">
        <v>465</v>
      </c>
    </row>
    <row r="158" spans="1:3">
      <c r="A158" s="90"/>
      <c r="B158" s="98" t="s">
        <v>293</v>
      </c>
      <c r="C158" s="99" t="s">
        <v>371</v>
      </c>
    </row>
    <row r="159" spans="1:3">
      <c r="A159" s="90"/>
      <c r="B159" s="98" t="s">
        <v>293</v>
      </c>
      <c r="C159" s="99" t="s">
        <v>372</v>
      </c>
    </row>
    <row r="160" spans="1:3">
      <c r="A160" s="90"/>
      <c r="B160" s="98" t="s">
        <v>293</v>
      </c>
      <c r="C160" s="99" t="s">
        <v>373</v>
      </c>
    </row>
    <row r="161" spans="1:3">
      <c r="A161" s="90"/>
      <c r="B161" s="98" t="s">
        <v>293</v>
      </c>
      <c r="C161" s="99" t="s">
        <v>466</v>
      </c>
    </row>
    <row r="162" spans="1:3">
      <c r="A162" s="90"/>
      <c r="B162" s="98" t="s">
        <v>293</v>
      </c>
      <c r="C162" s="99" t="s">
        <v>306</v>
      </c>
    </row>
    <row r="163" spans="1:3">
      <c r="A163" s="90"/>
      <c r="B163" s="98" t="s">
        <v>293</v>
      </c>
      <c r="C163" s="99" t="s">
        <v>374</v>
      </c>
    </row>
    <row r="164" spans="1:3">
      <c r="A164" s="90"/>
      <c r="B164" s="98" t="s">
        <v>293</v>
      </c>
      <c r="C164" s="99" t="s">
        <v>375</v>
      </c>
    </row>
    <row r="165" spans="1:3">
      <c r="A165" s="90"/>
      <c r="B165" s="98" t="s">
        <v>293</v>
      </c>
      <c r="C165" s="99" t="s">
        <v>376</v>
      </c>
    </row>
    <row r="166" spans="1:3">
      <c r="A166" s="90"/>
      <c r="B166" s="98" t="s">
        <v>293</v>
      </c>
      <c r="C166" s="99" t="s">
        <v>377</v>
      </c>
    </row>
    <row r="167" spans="1:3">
      <c r="A167" s="90"/>
      <c r="B167" s="98" t="s">
        <v>293</v>
      </c>
      <c r="C167" s="99" t="s">
        <v>378</v>
      </c>
    </row>
    <row r="168" spans="1:3">
      <c r="A168" s="90"/>
      <c r="B168" s="98" t="s">
        <v>293</v>
      </c>
      <c r="C168" s="99" t="s">
        <v>375</v>
      </c>
    </row>
    <row r="169" spans="1:3">
      <c r="A169" s="90"/>
      <c r="B169" s="98" t="s">
        <v>293</v>
      </c>
      <c r="C169" s="99" t="s">
        <v>467</v>
      </c>
    </row>
    <row r="170" spans="1:3">
      <c r="A170" s="90"/>
      <c r="B170" s="98" t="s">
        <v>293</v>
      </c>
      <c r="C170" s="99" t="s">
        <v>468</v>
      </c>
    </row>
    <row r="171" spans="1:3">
      <c r="A171" s="90"/>
      <c r="B171" s="98" t="s">
        <v>293</v>
      </c>
      <c r="C171" s="99" t="s">
        <v>379</v>
      </c>
    </row>
    <row r="172" spans="1:3">
      <c r="A172" s="90"/>
      <c r="B172" s="98" t="s">
        <v>293</v>
      </c>
      <c r="C172" s="99" t="s">
        <v>469</v>
      </c>
    </row>
    <row r="173" spans="1:3">
      <c r="A173" s="90"/>
      <c r="B173" s="98" t="s">
        <v>293</v>
      </c>
      <c r="C173" s="99" t="s">
        <v>380</v>
      </c>
    </row>
    <row r="174" spans="1:3">
      <c r="A174" s="90"/>
      <c r="B174" s="98" t="s">
        <v>293</v>
      </c>
      <c r="C174" s="99" t="s">
        <v>470</v>
      </c>
    </row>
    <row r="175" spans="1:3">
      <c r="A175" s="90"/>
      <c r="B175" s="98" t="s">
        <v>293</v>
      </c>
      <c r="C175" s="99" t="s">
        <v>375</v>
      </c>
    </row>
    <row r="176" spans="1:3">
      <c r="A176" s="90"/>
      <c r="B176" s="98" t="s">
        <v>293</v>
      </c>
      <c r="C176" s="99" t="s">
        <v>381</v>
      </c>
    </row>
    <row r="177" spans="1:3">
      <c r="A177" s="90"/>
      <c r="B177" s="98" t="s">
        <v>293</v>
      </c>
      <c r="C177" s="99" t="s">
        <v>382</v>
      </c>
    </row>
    <row r="178" spans="1:3">
      <c r="A178" s="90"/>
      <c r="B178" s="98" t="s">
        <v>293</v>
      </c>
      <c r="C178" s="99" t="s">
        <v>383</v>
      </c>
    </row>
    <row r="179" spans="1:3">
      <c r="A179" s="90"/>
      <c r="B179" s="98" t="s">
        <v>293</v>
      </c>
      <c r="C179" s="99" t="s">
        <v>471</v>
      </c>
    </row>
    <row r="180" spans="1:3">
      <c r="A180" s="90"/>
      <c r="B180" s="98" t="s">
        <v>293</v>
      </c>
      <c r="C180" s="99" t="s">
        <v>384</v>
      </c>
    </row>
    <row r="181" spans="1:3">
      <c r="A181" s="90"/>
      <c r="B181" s="98" t="s">
        <v>293</v>
      </c>
      <c r="C181" s="99" t="s">
        <v>472</v>
      </c>
    </row>
    <row r="182" spans="1:3">
      <c r="A182" s="90"/>
      <c r="B182" s="98" t="s">
        <v>293</v>
      </c>
      <c r="C182" s="99" t="s">
        <v>375</v>
      </c>
    </row>
    <row r="183" spans="1:3">
      <c r="A183" s="90"/>
      <c r="B183" s="98" t="s">
        <v>293</v>
      </c>
      <c r="C183" s="99" t="s">
        <v>473</v>
      </c>
    </row>
    <row r="184" spans="1:3">
      <c r="A184" s="90"/>
      <c r="B184" s="98" t="s">
        <v>293</v>
      </c>
      <c r="C184" s="99" t="s">
        <v>385</v>
      </c>
    </row>
    <row r="185" spans="1:3">
      <c r="A185" s="90"/>
      <c r="B185" s="98" t="s">
        <v>293</v>
      </c>
      <c r="C185" s="99" t="s">
        <v>366</v>
      </c>
    </row>
    <row r="186" spans="1:3">
      <c r="A186" s="90"/>
      <c r="B186" s="98" t="s">
        <v>293</v>
      </c>
      <c r="C186" s="99" t="s">
        <v>92</v>
      </c>
    </row>
    <row r="187" spans="1:3">
      <c r="A187" s="90"/>
      <c r="B187" s="98" t="s">
        <v>293</v>
      </c>
      <c r="C187" s="99" t="s">
        <v>83</v>
      </c>
    </row>
    <row r="188" spans="1:3">
      <c r="A188" s="90"/>
      <c r="B188" s="98" t="s">
        <v>293</v>
      </c>
      <c r="C188" s="99" t="s">
        <v>474</v>
      </c>
    </row>
    <row r="189" spans="1:3">
      <c r="A189" s="90"/>
      <c r="B189" s="98" t="s">
        <v>293</v>
      </c>
      <c r="C189" s="99" t="s">
        <v>83</v>
      </c>
    </row>
    <row r="190" spans="1:3">
      <c r="A190" s="90"/>
      <c r="B190" s="98" t="s">
        <v>293</v>
      </c>
      <c r="C190" s="99" t="s">
        <v>475</v>
      </c>
    </row>
    <row r="191" spans="1:3">
      <c r="A191" s="90"/>
      <c r="B191" s="98" t="s">
        <v>293</v>
      </c>
      <c r="C191" s="99" t="s">
        <v>83</v>
      </c>
    </row>
    <row r="192" spans="1:3">
      <c r="A192" s="90"/>
      <c r="B192" s="98" t="s">
        <v>293</v>
      </c>
      <c r="C192" s="99" t="s">
        <v>386</v>
      </c>
    </row>
    <row r="193" spans="1:3">
      <c r="A193" s="90"/>
      <c r="B193" s="98" t="s">
        <v>293</v>
      </c>
      <c r="C193" s="99" t="s">
        <v>119</v>
      </c>
    </row>
    <row r="194" spans="1:3">
      <c r="A194" s="90"/>
      <c r="B194" s="98" t="s">
        <v>293</v>
      </c>
      <c r="C194" s="99" t="s">
        <v>387</v>
      </c>
    </row>
    <row r="195" spans="1:3">
      <c r="A195" s="90"/>
      <c r="B195" s="98" t="s">
        <v>293</v>
      </c>
      <c r="C195" s="99" t="s">
        <v>119</v>
      </c>
    </row>
    <row r="196" spans="1:3">
      <c r="A196" s="90"/>
      <c r="B196" s="98" t="s">
        <v>293</v>
      </c>
      <c r="C196" s="99" t="s">
        <v>476</v>
      </c>
    </row>
    <row r="197" spans="1:3">
      <c r="A197" s="90"/>
      <c r="B197" s="98" t="s">
        <v>293</v>
      </c>
      <c r="C197" s="99" t="s">
        <v>119</v>
      </c>
    </row>
    <row r="198" spans="1:3">
      <c r="A198" s="90"/>
      <c r="B198" s="98" t="s">
        <v>293</v>
      </c>
      <c r="C198" s="99" t="s">
        <v>388</v>
      </c>
    </row>
    <row r="199" spans="1:3">
      <c r="A199" s="90"/>
      <c r="B199" s="98" t="s">
        <v>293</v>
      </c>
      <c r="C199" s="99" t="s">
        <v>83</v>
      </c>
    </row>
    <row r="200" spans="1:3">
      <c r="A200" s="90"/>
      <c r="B200" s="98" t="s">
        <v>293</v>
      </c>
      <c r="C200" s="99" t="s">
        <v>477</v>
      </c>
    </row>
    <row r="201" spans="1:3">
      <c r="A201" s="90"/>
      <c r="B201" s="98" t="s">
        <v>293</v>
      </c>
      <c r="C201" s="99" t="s">
        <v>83</v>
      </c>
    </row>
    <row r="202" spans="1:3">
      <c r="A202" s="90"/>
      <c r="B202" s="98" t="s">
        <v>293</v>
      </c>
      <c r="C202" s="99" t="s">
        <v>478</v>
      </c>
    </row>
    <row r="203" spans="1:3">
      <c r="A203" s="90"/>
      <c r="B203" s="98" t="s">
        <v>293</v>
      </c>
      <c r="C203" s="99" t="s">
        <v>479</v>
      </c>
    </row>
    <row r="204" spans="1:3">
      <c r="A204" s="90"/>
      <c r="B204" s="98" t="s">
        <v>293</v>
      </c>
      <c r="C204" s="99" t="s">
        <v>389</v>
      </c>
    </row>
    <row r="205" spans="1:3">
      <c r="A205" s="90"/>
      <c r="B205" s="98" t="s">
        <v>293</v>
      </c>
      <c r="C205" s="99" t="s">
        <v>83</v>
      </c>
    </row>
    <row r="206" spans="1:3">
      <c r="A206" s="90"/>
      <c r="B206" s="98" t="s">
        <v>293</v>
      </c>
      <c r="C206" s="99" t="s">
        <v>390</v>
      </c>
    </row>
    <row r="207" spans="1:3">
      <c r="A207" s="90"/>
      <c r="B207" s="98" t="s">
        <v>293</v>
      </c>
      <c r="C207" s="99" t="s">
        <v>83</v>
      </c>
    </row>
    <row r="208" spans="1:3">
      <c r="A208" s="90"/>
      <c r="B208" s="98" t="s">
        <v>293</v>
      </c>
      <c r="C208" s="99" t="s">
        <v>480</v>
      </c>
    </row>
    <row r="209" spans="1:3">
      <c r="A209" s="90"/>
      <c r="B209" s="98" t="s">
        <v>293</v>
      </c>
      <c r="C209" s="99" t="s">
        <v>92</v>
      </c>
    </row>
    <row r="210" spans="1:3">
      <c r="A210" s="90"/>
      <c r="B210" s="98" t="s">
        <v>293</v>
      </c>
      <c r="C210" s="99" t="s">
        <v>391</v>
      </c>
    </row>
    <row r="211" spans="1:3">
      <c r="A211" s="90"/>
      <c r="B211" s="98" t="s">
        <v>293</v>
      </c>
      <c r="C211" s="99" t="s">
        <v>83</v>
      </c>
    </row>
    <row r="212" spans="1:3">
      <c r="A212" s="90"/>
      <c r="B212" s="98" t="s">
        <v>293</v>
      </c>
      <c r="C212" s="99" t="s">
        <v>481</v>
      </c>
    </row>
    <row r="213" spans="1:3">
      <c r="A213" s="90"/>
      <c r="B213" s="98" t="s">
        <v>293</v>
      </c>
      <c r="C213" s="99" t="s">
        <v>392</v>
      </c>
    </row>
    <row r="214" spans="1:3">
      <c r="A214" s="90"/>
      <c r="B214" s="98" t="s">
        <v>293</v>
      </c>
      <c r="C214" s="99" t="s">
        <v>393</v>
      </c>
    </row>
    <row r="215" spans="1:3">
      <c r="A215" s="90"/>
      <c r="B215" s="98" t="s">
        <v>293</v>
      </c>
      <c r="C215" s="99" t="s">
        <v>394</v>
      </c>
    </row>
    <row r="216" spans="1:3">
      <c r="A216" s="90"/>
      <c r="B216" s="98" t="s">
        <v>293</v>
      </c>
      <c r="C216" s="99" t="s">
        <v>395</v>
      </c>
    </row>
    <row r="217" spans="1:3">
      <c r="A217" s="90"/>
      <c r="B217" s="98" t="s">
        <v>293</v>
      </c>
      <c r="C217" s="99" t="s">
        <v>482</v>
      </c>
    </row>
    <row r="218" spans="1:3">
      <c r="A218" s="90"/>
      <c r="B218" s="98" t="s">
        <v>293</v>
      </c>
      <c r="C218" s="99" t="s">
        <v>396</v>
      </c>
    </row>
    <row r="219" spans="1:3">
      <c r="A219" s="90"/>
      <c r="B219" s="98" t="s">
        <v>293</v>
      </c>
      <c r="C219" s="99" t="s">
        <v>397</v>
      </c>
    </row>
    <row r="220" spans="1:3">
      <c r="A220" s="90"/>
      <c r="B220" s="98" t="s">
        <v>293</v>
      </c>
      <c r="C220" s="99" t="s">
        <v>394</v>
      </c>
    </row>
    <row r="221" spans="1:3">
      <c r="A221" s="90"/>
      <c r="B221" s="98" t="s">
        <v>293</v>
      </c>
      <c r="C221" s="99" t="s">
        <v>54</v>
      </c>
    </row>
    <row r="222" spans="1:3">
      <c r="A222" s="90"/>
      <c r="B222" s="98" t="s">
        <v>293</v>
      </c>
      <c r="C222" s="99" t="s">
        <v>482</v>
      </c>
    </row>
    <row r="223" spans="1:3">
      <c r="A223" s="90"/>
      <c r="B223" s="98" t="s">
        <v>293</v>
      </c>
      <c r="C223" s="99" t="s">
        <v>396</v>
      </c>
    </row>
    <row r="224" spans="1:3">
      <c r="A224" s="90"/>
      <c r="B224" s="98" t="s">
        <v>293</v>
      </c>
      <c r="C224" s="99" t="s">
        <v>398</v>
      </c>
    </row>
    <row r="225" spans="1:3">
      <c r="A225" s="90"/>
      <c r="B225" s="98" t="s">
        <v>293</v>
      </c>
      <c r="C225" s="99" t="s">
        <v>394</v>
      </c>
    </row>
    <row r="226" spans="1:3">
      <c r="A226" s="90"/>
      <c r="B226" s="98" t="s">
        <v>293</v>
      </c>
      <c r="C226" s="99" t="s">
        <v>54</v>
      </c>
    </row>
    <row r="227" spans="1:3">
      <c r="A227" s="90"/>
      <c r="B227" s="98" t="s">
        <v>293</v>
      </c>
      <c r="C227" s="99" t="s">
        <v>482</v>
      </c>
    </row>
    <row r="228" spans="1:3">
      <c r="A228" s="90"/>
      <c r="B228" s="98" t="s">
        <v>293</v>
      </c>
      <c r="C228" s="99" t="s">
        <v>399</v>
      </c>
    </row>
    <row r="229" spans="1:3">
      <c r="A229" s="90"/>
      <c r="B229" s="98" t="s">
        <v>293</v>
      </c>
      <c r="C229" s="99" t="s">
        <v>400</v>
      </c>
    </row>
    <row r="230" spans="1:3">
      <c r="A230" s="90"/>
      <c r="B230" s="98" t="s">
        <v>293</v>
      </c>
      <c r="C230" s="99" t="s">
        <v>394</v>
      </c>
    </row>
    <row r="231" spans="1:3">
      <c r="A231" s="90"/>
      <c r="B231" s="98" t="s">
        <v>293</v>
      </c>
      <c r="C231" s="99" t="s">
        <v>54</v>
      </c>
    </row>
    <row r="232" spans="1:3">
      <c r="A232" s="90"/>
      <c r="B232" s="98" t="s">
        <v>293</v>
      </c>
      <c r="C232" s="99" t="s">
        <v>482</v>
      </c>
    </row>
    <row r="233" spans="1:3">
      <c r="A233" s="90"/>
      <c r="B233" s="98" t="s">
        <v>293</v>
      </c>
      <c r="C233" s="99" t="s">
        <v>92</v>
      </c>
    </row>
    <row r="234" spans="1:3">
      <c r="A234" s="90"/>
      <c r="B234" s="98" t="s">
        <v>293</v>
      </c>
      <c r="C234" s="99" t="s">
        <v>92</v>
      </c>
    </row>
    <row r="235" spans="1:3">
      <c r="A235" s="90"/>
      <c r="B235" s="98" t="s">
        <v>293</v>
      </c>
      <c r="C235" s="99" t="s">
        <v>92</v>
      </c>
    </row>
    <row r="236" spans="1:3">
      <c r="A236" s="90"/>
      <c r="B236" s="98" t="s">
        <v>293</v>
      </c>
      <c r="C236" s="99" t="s">
        <v>92</v>
      </c>
    </row>
    <row r="237" spans="1:3">
      <c r="A237" s="90"/>
      <c r="B237" s="98" t="s">
        <v>293</v>
      </c>
      <c r="C237" s="99" t="s">
        <v>92</v>
      </c>
    </row>
    <row r="238" spans="1:3">
      <c r="A238" s="90"/>
      <c r="B238" s="98" t="s">
        <v>293</v>
      </c>
      <c r="C238" s="99" t="s">
        <v>92</v>
      </c>
    </row>
    <row r="239" spans="1:3">
      <c r="A239" s="90"/>
      <c r="B239" s="98" t="s">
        <v>293</v>
      </c>
      <c r="C239" s="99" t="s">
        <v>1</v>
      </c>
    </row>
    <row r="240" spans="1:3">
      <c r="A240" s="90"/>
      <c r="B240" s="98" t="s">
        <v>293</v>
      </c>
      <c r="C240" s="99" t="s">
        <v>92</v>
      </c>
    </row>
    <row r="241" spans="1:3">
      <c r="A241" s="90"/>
      <c r="B241" s="98" t="s">
        <v>293</v>
      </c>
      <c r="C241" s="99" t="s">
        <v>92</v>
      </c>
    </row>
    <row r="242" spans="1:3">
      <c r="A242" s="90"/>
      <c r="B242" s="98" t="s">
        <v>293</v>
      </c>
      <c r="C242" s="99" t="s">
        <v>162</v>
      </c>
    </row>
    <row r="243" spans="1:3">
      <c r="A243" s="90"/>
      <c r="B243" s="98" t="s">
        <v>293</v>
      </c>
      <c r="C243" s="99" t="s">
        <v>92</v>
      </c>
    </row>
    <row r="244" spans="1:3">
      <c r="A244" s="90"/>
      <c r="B244" s="98" t="s">
        <v>293</v>
      </c>
      <c r="C244" s="99" t="s">
        <v>163</v>
      </c>
    </row>
    <row r="245" spans="1:3">
      <c r="A245" s="90"/>
      <c r="B245" s="98" t="s">
        <v>293</v>
      </c>
      <c r="C245" s="99" t="s">
        <v>152</v>
      </c>
    </row>
    <row r="246" spans="1:3">
      <c r="A246" s="90"/>
      <c r="B246" s="98" t="s">
        <v>293</v>
      </c>
      <c r="C246" s="99" t="s">
        <v>105</v>
      </c>
    </row>
    <row r="247" spans="1:3">
      <c r="A247" s="90"/>
      <c r="B247" s="98" t="s">
        <v>293</v>
      </c>
      <c r="C247" s="99" t="s">
        <v>483</v>
      </c>
    </row>
    <row r="248" spans="1:3">
      <c r="A248" s="90"/>
      <c r="B248" s="98" t="s">
        <v>293</v>
      </c>
      <c r="C248" s="99" t="s">
        <v>162</v>
      </c>
    </row>
    <row r="249" spans="1:3">
      <c r="A249" s="90"/>
      <c r="B249" s="98" t="s">
        <v>293</v>
      </c>
      <c r="C249" s="99" t="s">
        <v>92</v>
      </c>
    </row>
    <row r="250" spans="1:3">
      <c r="A250" s="90"/>
      <c r="B250" s="98" t="s">
        <v>293</v>
      </c>
      <c r="C250" s="99" t="s">
        <v>155</v>
      </c>
    </row>
    <row r="251" spans="1:3">
      <c r="A251" s="90"/>
      <c r="B251" s="98" t="s">
        <v>293</v>
      </c>
      <c r="C251" s="99" t="s">
        <v>152</v>
      </c>
    </row>
    <row r="252" spans="1:3">
      <c r="A252" s="90"/>
      <c r="B252" s="98" t="s">
        <v>293</v>
      </c>
      <c r="C252" s="99" t="s">
        <v>164</v>
      </c>
    </row>
    <row r="253" spans="1:3">
      <c r="A253" s="90"/>
      <c r="B253" s="98" t="s">
        <v>293</v>
      </c>
      <c r="C253" s="99" t="s">
        <v>92</v>
      </c>
    </row>
    <row r="254" spans="1:3">
      <c r="A254" s="90"/>
      <c r="B254" s="98" t="s">
        <v>293</v>
      </c>
      <c r="C254" s="99" t="s">
        <v>92</v>
      </c>
    </row>
    <row r="255" spans="1:3">
      <c r="A255" s="90"/>
      <c r="B255" s="98" t="s">
        <v>291</v>
      </c>
      <c r="C255" s="99" t="s">
        <v>83</v>
      </c>
    </row>
    <row r="256" spans="1:3">
      <c r="A256" s="90"/>
      <c r="B256" s="98" t="s">
        <v>292</v>
      </c>
      <c r="C256" s="99" t="s">
        <v>484</v>
      </c>
    </row>
    <row r="257" spans="1:3">
      <c r="A257" s="90" t="s">
        <v>489</v>
      </c>
      <c r="B257" s="98" t="s">
        <v>293</v>
      </c>
      <c r="C257" s="99" t="s">
        <v>1</v>
      </c>
    </row>
    <row r="258" spans="1:3">
      <c r="A258" s="90"/>
      <c r="B258" s="98" t="s">
        <v>292</v>
      </c>
      <c r="C258" s="99" t="s">
        <v>401</v>
      </c>
    </row>
    <row r="259" spans="1:3">
      <c r="A259" s="90" t="s">
        <v>490</v>
      </c>
      <c r="B259" s="98" t="s">
        <v>293</v>
      </c>
      <c r="C259" s="99" t="s">
        <v>1</v>
      </c>
    </row>
    <row r="260" spans="1:3">
      <c r="A260" s="90"/>
      <c r="B260" s="98" t="s">
        <v>292</v>
      </c>
      <c r="C260" s="99" t="s">
        <v>402</v>
      </c>
    </row>
    <row r="261" spans="1:3">
      <c r="A261" s="90" t="s">
        <v>491</v>
      </c>
      <c r="B261" s="98" t="s">
        <v>293</v>
      </c>
      <c r="C261" s="99" t="s">
        <v>1</v>
      </c>
    </row>
    <row r="262" spans="1:3">
      <c r="A262" s="90" t="s">
        <v>492</v>
      </c>
      <c r="B262" s="98" t="s">
        <v>293</v>
      </c>
      <c r="C262" s="99" t="s">
        <v>403</v>
      </c>
    </row>
    <row r="263" spans="1:3">
      <c r="A263" s="90"/>
      <c r="B263" s="98" t="s">
        <v>292</v>
      </c>
      <c r="C263" s="99" t="s">
        <v>404</v>
      </c>
    </row>
    <row r="264" spans="1:3">
      <c r="A264" s="90" t="s">
        <v>493</v>
      </c>
      <c r="B264" s="98" t="s">
        <v>293</v>
      </c>
      <c r="C264" s="99" t="s">
        <v>405</v>
      </c>
    </row>
    <row r="265" spans="1:3">
      <c r="A265" s="90"/>
      <c r="B265" s="98" t="s">
        <v>292</v>
      </c>
      <c r="C265" s="99" t="s">
        <v>406</v>
      </c>
    </row>
    <row r="266" spans="1:3">
      <c r="A266" s="90" t="s">
        <v>494</v>
      </c>
      <c r="B266" s="98" t="s">
        <v>293</v>
      </c>
      <c r="C266" s="99" t="s">
        <v>407</v>
      </c>
    </row>
    <row r="267" spans="1:3">
      <c r="A267" s="90"/>
      <c r="B267" s="98" t="s">
        <v>292</v>
      </c>
      <c r="C267" s="99" t="s">
        <v>178</v>
      </c>
    </row>
    <row r="268" spans="1:3">
      <c r="A268" s="90" t="s">
        <v>495</v>
      </c>
      <c r="B268" s="98" t="s">
        <v>293</v>
      </c>
      <c r="C268" s="99" t="s">
        <v>217</v>
      </c>
    </row>
    <row r="269" spans="1:3">
      <c r="A269" s="90"/>
      <c r="B269" s="98" t="s">
        <v>292</v>
      </c>
      <c r="C269" s="99" t="s">
        <v>408</v>
      </c>
    </row>
    <row r="270" spans="1:3">
      <c r="A270" s="90" t="s">
        <v>496</v>
      </c>
      <c r="B270" s="98" t="s">
        <v>293</v>
      </c>
      <c r="C270" s="99" t="s">
        <v>409</v>
      </c>
    </row>
    <row r="271" spans="1:3">
      <c r="A271" s="90"/>
      <c r="B271" s="98" t="s">
        <v>292</v>
      </c>
      <c r="C271" s="99" t="s">
        <v>485</v>
      </c>
    </row>
    <row r="272" spans="1:3">
      <c r="A272" s="90" t="s">
        <v>497</v>
      </c>
      <c r="B272" s="98" t="s">
        <v>293</v>
      </c>
      <c r="C272" s="99" t="s">
        <v>82</v>
      </c>
    </row>
    <row r="273" spans="1:3">
      <c r="A273" s="90"/>
      <c r="B273" s="98" t="s">
        <v>292</v>
      </c>
      <c r="C273" s="99" t="s">
        <v>410</v>
      </c>
    </row>
    <row r="274" spans="1:3">
      <c r="A274" s="90" t="s">
        <v>498</v>
      </c>
      <c r="B274" s="98" t="s">
        <v>293</v>
      </c>
      <c r="C274" s="99" t="s">
        <v>411</v>
      </c>
    </row>
    <row r="275" spans="1:3">
      <c r="A275" s="90"/>
      <c r="B275" s="98" t="s">
        <v>292</v>
      </c>
      <c r="C275" s="99" t="s">
        <v>412</v>
      </c>
    </row>
    <row r="276" spans="1:3">
      <c r="A276" s="90" t="s">
        <v>499</v>
      </c>
      <c r="B276" s="98" t="s">
        <v>293</v>
      </c>
      <c r="C276" s="99" t="s">
        <v>92</v>
      </c>
    </row>
    <row r="277" spans="1:3">
      <c r="A277" s="90"/>
      <c r="B277" s="98" t="s">
        <v>292</v>
      </c>
      <c r="C277" s="99" t="s">
        <v>413</v>
      </c>
    </row>
    <row r="278" spans="1:3">
      <c r="A278" s="90" t="s">
        <v>500</v>
      </c>
      <c r="B278" s="98" t="s">
        <v>293</v>
      </c>
      <c r="C278" s="99" t="s">
        <v>486</v>
      </c>
    </row>
    <row r="279" spans="1:3">
      <c r="A279" s="90"/>
      <c r="B279" s="98" t="s">
        <v>292</v>
      </c>
      <c r="C279" s="99" t="s">
        <v>197</v>
      </c>
    </row>
    <row r="280" spans="1:3">
      <c r="A280" s="90" t="s">
        <v>501</v>
      </c>
      <c r="B280" s="98" t="s">
        <v>293</v>
      </c>
      <c r="C280" s="99" t="s">
        <v>108</v>
      </c>
    </row>
    <row r="281" spans="1:3">
      <c r="A281" s="90"/>
      <c r="B281" s="98" t="s">
        <v>292</v>
      </c>
      <c r="C281" s="99" t="s">
        <v>414</v>
      </c>
    </row>
    <row r="282" spans="1:3">
      <c r="A282" s="90" t="s">
        <v>502</v>
      </c>
      <c r="B282" s="98" t="s">
        <v>293</v>
      </c>
      <c r="C282" s="99" t="s">
        <v>95</v>
      </c>
    </row>
    <row r="283" spans="1:3">
      <c r="A283" s="90"/>
      <c r="B283" s="98" t="s">
        <v>292</v>
      </c>
      <c r="C283" s="99" t="s">
        <v>199</v>
      </c>
    </row>
    <row r="284" spans="1:3">
      <c r="A284" s="90" t="s">
        <v>503</v>
      </c>
      <c r="B284" s="98" t="s">
        <v>293</v>
      </c>
      <c r="C284" s="99" t="s">
        <v>144</v>
      </c>
    </row>
    <row r="285" spans="1:3">
      <c r="A285" s="90"/>
      <c r="B285" s="98" t="s">
        <v>292</v>
      </c>
      <c r="C285" s="99" t="s">
        <v>200</v>
      </c>
    </row>
    <row r="286" spans="1:3">
      <c r="A286" s="90" t="s">
        <v>504</v>
      </c>
      <c r="B286" s="98" t="s">
        <v>293</v>
      </c>
      <c r="C286" s="99" t="s">
        <v>98</v>
      </c>
    </row>
    <row r="287" spans="1:3">
      <c r="A287" s="90" t="s">
        <v>505</v>
      </c>
      <c r="B287" s="98" t="s">
        <v>293</v>
      </c>
      <c r="C287" s="99" t="s">
        <v>145</v>
      </c>
    </row>
    <row r="288" spans="1:3">
      <c r="A288" s="90"/>
      <c r="B288" s="98" t="s">
        <v>292</v>
      </c>
      <c r="C288" s="99" t="s">
        <v>203</v>
      </c>
    </row>
    <row r="289" spans="1:3">
      <c r="A289" s="90" t="s">
        <v>506</v>
      </c>
      <c r="B289" s="98" t="s">
        <v>293</v>
      </c>
      <c r="C289" s="99" t="s">
        <v>92</v>
      </c>
    </row>
    <row r="290" spans="1:3">
      <c r="A290" s="90"/>
      <c r="B290" s="98" t="s">
        <v>292</v>
      </c>
      <c r="C290" s="99" t="s">
        <v>205</v>
      </c>
    </row>
    <row r="291" spans="1:3">
      <c r="A291" s="90" t="s">
        <v>507</v>
      </c>
      <c r="B291" s="98" t="s">
        <v>293</v>
      </c>
      <c r="C291" s="99" t="s">
        <v>206</v>
      </c>
    </row>
    <row r="292" spans="1:3">
      <c r="A292" s="90" t="s">
        <v>508</v>
      </c>
      <c r="B292" s="98" t="s">
        <v>293</v>
      </c>
      <c r="C292" s="99" t="s">
        <v>92</v>
      </c>
    </row>
    <row r="293" spans="1:3">
      <c r="A293" s="90" t="s">
        <v>509</v>
      </c>
      <c r="B293" s="98" t="s">
        <v>293</v>
      </c>
      <c r="C293" s="99" t="s">
        <v>207</v>
      </c>
    </row>
    <row r="294" spans="1:3">
      <c r="A294" s="90" t="s">
        <v>510</v>
      </c>
      <c r="B294" s="98" t="s">
        <v>293</v>
      </c>
      <c r="C294" s="99" t="s">
        <v>92</v>
      </c>
    </row>
    <row r="295" spans="1:3">
      <c r="A295" s="90" t="s">
        <v>511</v>
      </c>
      <c r="B295" s="98" t="s">
        <v>293</v>
      </c>
      <c r="C295" s="99" t="s">
        <v>208</v>
      </c>
    </row>
    <row r="296" spans="1:3">
      <c r="A296" s="90" t="s">
        <v>512</v>
      </c>
      <c r="B296" s="98" t="s">
        <v>293</v>
      </c>
      <c r="C296" s="99" t="s">
        <v>92</v>
      </c>
    </row>
    <row r="297" spans="1:3">
      <c r="A297" s="90"/>
      <c r="B297" s="98" t="s">
        <v>292</v>
      </c>
      <c r="C297" s="99" t="s">
        <v>209</v>
      </c>
    </row>
    <row r="298" spans="1:3">
      <c r="A298" s="90" t="s">
        <v>513</v>
      </c>
      <c r="B298" s="98" t="s">
        <v>293</v>
      </c>
      <c r="C298" s="99" t="s">
        <v>92</v>
      </c>
    </row>
    <row r="299" spans="1:3">
      <c r="A299" s="90"/>
      <c r="B299" s="98" t="s">
        <v>292</v>
      </c>
      <c r="C299" s="99" t="s">
        <v>211</v>
      </c>
    </row>
    <row r="300" spans="1:3">
      <c r="A300" s="90" t="s">
        <v>514</v>
      </c>
      <c r="B300" s="98" t="s">
        <v>293</v>
      </c>
      <c r="C300" s="99" t="s">
        <v>92</v>
      </c>
    </row>
    <row r="301" spans="1:3">
      <c r="A301" s="90"/>
      <c r="B301" s="98" t="s">
        <v>291</v>
      </c>
      <c r="C301" s="99" t="s">
        <v>119</v>
      </c>
    </row>
    <row r="302" spans="1:3">
      <c r="A302" s="90" t="s">
        <v>515</v>
      </c>
      <c r="B302" s="98" t="s">
        <v>415</v>
      </c>
      <c r="C302" s="99" t="s">
        <v>416</v>
      </c>
    </row>
    <row r="303" spans="1:3">
      <c r="A303" s="90" t="s">
        <v>516</v>
      </c>
      <c r="B303" s="98" t="s">
        <v>417</v>
      </c>
      <c r="C303" s="99" t="s">
        <v>388</v>
      </c>
    </row>
    <row r="304" spans="1:3">
      <c r="A304" s="90" t="s">
        <v>517</v>
      </c>
      <c r="B304" s="98" t="s">
        <v>418</v>
      </c>
      <c r="C304" s="99" t="s">
        <v>419</v>
      </c>
    </row>
    <row r="305" spans="1:3">
      <c r="A305" s="90" t="s">
        <v>518</v>
      </c>
      <c r="B305" s="98" t="s">
        <v>420</v>
      </c>
      <c r="C305" s="99" t="s">
        <v>487</v>
      </c>
    </row>
    <row r="306" spans="1:3">
      <c r="A306" s="90" t="s">
        <v>519</v>
      </c>
      <c r="B306" s="98" t="s">
        <v>421</v>
      </c>
      <c r="C306" s="99" t="s">
        <v>92</v>
      </c>
    </row>
    <row r="307" spans="1:3">
      <c r="A307" s="90" t="s">
        <v>520</v>
      </c>
      <c r="B307" s="98" t="s">
        <v>422</v>
      </c>
      <c r="C307" s="112" t="s">
        <v>92</v>
      </c>
    </row>
    <row r="308" spans="1:3">
      <c r="A308" s="90" t="s">
        <v>521</v>
      </c>
      <c r="B308" s="98" t="s">
        <v>423</v>
      </c>
      <c r="C308" s="113" t="s">
        <v>537</v>
      </c>
    </row>
    <row r="309" spans="1:3">
      <c r="A309" s="90" t="s">
        <v>522</v>
      </c>
      <c r="B309" s="98" t="s">
        <v>424</v>
      </c>
      <c r="C309" s="99" t="s">
        <v>425</v>
      </c>
    </row>
    <row r="310" spans="1:3">
      <c r="A310" s="90" t="s">
        <v>523</v>
      </c>
      <c r="B310" s="98" t="s">
        <v>426</v>
      </c>
      <c r="C310" s="99" t="s">
        <v>78</v>
      </c>
    </row>
    <row r="311" spans="1:3" ht="13.5" thickBot="1">
      <c r="A311" s="90" t="s">
        <v>524</v>
      </c>
      <c r="B311" s="100" t="s">
        <v>427</v>
      </c>
      <c r="C311" s="101" t="s">
        <v>488</v>
      </c>
    </row>
    <row r="312" spans="1:3">
      <c r="A312" s="90"/>
    </row>
    <row r="313" spans="1:3">
      <c r="A313" s="90"/>
    </row>
    <row r="314" spans="1:3">
      <c r="A314" s="90"/>
    </row>
    <row r="315" spans="1:3">
      <c r="A315" s="90"/>
    </row>
    <row r="316" spans="1:3">
      <c r="A316" s="90"/>
    </row>
    <row r="317" spans="1:3">
      <c r="A317" s="90"/>
    </row>
    <row r="318" spans="1:3">
      <c r="A318" s="90"/>
    </row>
    <row r="319" spans="1:3">
      <c r="A319" s="90"/>
    </row>
    <row r="320" spans="1:3">
      <c r="A320" s="90"/>
    </row>
    <row r="321" spans="1:1">
      <c r="A321" s="90"/>
    </row>
    <row r="322" spans="1:1">
      <c r="A322" s="90"/>
    </row>
    <row r="323" spans="1:1">
      <c r="A323" s="90"/>
    </row>
    <row r="324" spans="1:1">
      <c r="A324" s="90"/>
    </row>
    <row r="325" spans="1:1">
      <c r="A325" s="90"/>
    </row>
    <row r="326" spans="1:1">
      <c r="A326" s="90"/>
    </row>
    <row r="327" spans="1:1">
      <c r="A327" s="90"/>
    </row>
    <row r="328" spans="1:1">
      <c r="A328" s="90"/>
    </row>
    <row r="329" spans="1:1">
      <c r="A329" s="90"/>
    </row>
    <row r="330" spans="1:1">
      <c r="A330" s="90"/>
    </row>
    <row r="331" spans="1:1">
      <c r="A331" s="90"/>
    </row>
    <row r="332" spans="1:1">
      <c r="A332" s="90"/>
    </row>
    <row r="333" spans="1:1">
      <c r="A333" s="90"/>
    </row>
    <row r="334" spans="1:1">
      <c r="A334" s="90"/>
    </row>
    <row r="335" spans="1:1">
      <c r="A335" s="90"/>
    </row>
    <row r="336" spans="1:1">
      <c r="A336" s="90"/>
    </row>
    <row r="337" spans="1:1">
      <c r="A337" s="90"/>
    </row>
    <row r="338" spans="1:1">
      <c r="A338" s="90"/>
    </row>
    <row r="339" spans="1:1">
      <c r="A339" s="90"/>
    </row>
    <row r="340" spans="1:1">
      <c r="A340" s="90"/>
    </row>
    <row r="341" spans="1:1">
      <c r="A341" s="90"/>
    </row>
    <row r="342" spans="1:1">
      <c r="A342" s="90"/>
    </row>
    <row r="343" spans="1:1">
      <c r="A343" s="90"/>
    </row>
    <row r="344" spans="1:1">
      <c r="A344" s="90"/>
    </row>
    <row r="345" spans="1:1">
      <c r="A345" s="90"/>
    </row>
    <row r="346" spans="1:1">
      <c r="A346" s="90"/>
    </row>
    <row r="347" spans="1:1">
      <c r="A347" s="90"/>
    </row>
    <row r="348" spans="1:1">
      <c r="A348" s="90"/>
    </row>
    <row r="349" spans="1:1">
      <c r="A349" s="90"/>
    </row>
    <row r="350" spans="1:1">
      <c r="A350" s="90"/>
    </row>
    <row r="351" spans="1:1">
      <c r="A351" s="90"/>
    </row>
    <row r="352" spans="1:1">
      <c r="A352" s="90"/>
    </row>
    <row r="353" spans="1:1">
      <c r="A353" s="90"/>
    </row>
    <row r="354" spans="1:1">
      <c r="A354" s="90"/>
    </row>
    <row r="355" spans="1:1">
      <c r="A355" s="90"/>
    </row>
    <row r="356" spans="1:1">
      <c r="A356" s="90"/>
    </row>
    <row r="357" spans="1:1">
      <c r="A357" s="90"/>
    </row>
    <row r="358" spans="1:1">
      <c r="A358" s="90"/>
    </row>
    <row r="359" spans="1:1">
      <c r="A359" s="90"/>
    </row>
    <row r="360" spans="1:1">
      <c r="A360" s="90"/>
    </row>
    <row r="361" spans="1:1">
      <c r="A361" s="90"/>
    </row>
    <row r="362" spans="1:1">
      <c r="A362" s="90"/>
    </row>
    <row r="363" spans="1:1">
      <c r="A363" s="90"/>
    </row>
    <row r="364" spans="1:1">
      <c r="A364" s="90"/>
    </row>
    <row r="365" spans="1:1">
      <c r="A365" s="90"/>
    </row>
    <row r="366" spans="1:1">
      <c r="A366" s="90"/>
    </row>
    <row r="367" spans="1:1">
      <c r="A367" s="90"/>
    </row>
    <row r="368" spans="1:1">
      <c r="A368" s="90"/>
    </row>
    <row r="369" spans="1:1">
      <c r="A369" s="90"/>
    </row>
    <row r="370" spans="1:1">
      <c r="A370" s="90"/>
    </row>
    <row r="371" spans="1:1">
      <c r="A371" s="90"/>
    </row>
    <row r="372" spans="1:1">
      <c r="A372" s="90"/>
    </row>
    <row r="373" spans="1:1">
      <c r="A373" s="90"/>
    </row>
    <row r="374" spans="1:1">
      <c r="A374" s="90"/>
    </row>
    <row r="375" spans="1:1">
      <c r="A375" s="90"/>
    </row>
    <row r="376" spans="1:1">
      <c r="A376" s="90"/>
    </row>
    <row r="377" spans="1:1">
      <c r="A377" s="90"/>
    </row>
    <row r="378" spans="1:1">
      <c r="A378" s="90"/>
    </row>
    <row r="379" spans="1:1">
      <c r="A379" s="90"/>
    </row>
    <row r="380" spans="1:1">
      <c r="A380" s="90"/>
    </row>
    <row r="381" spans="1:1">
      <c r="A381" s="90"/>
    </row>
    <row r="382" spans="1:1">
      <c r="A382" s="90"/>
    </row>
    <row r="383" spans="1:1">
      <c r="A383" s="90"/>
    </row>
    <row r="384" spans="1:1">
      <c r="A384" s="90"/>
    </row>
    <row r="385" spans="1:1">
      <c r="A385" s="90"/>
    </row>
    <row r="386" spans="1:1">
      <c r="A386" s="90"/>
    </row>
    <row r="387" spans="1:1">
      <c r="A387" s="90"/>
    </row>
    <row r="388" spans="1:1">
      <c r="A388" s="90"/>
    </row>
    <row r="389" spans="1:1">
      <c r="A389" s="90"/>
    </row>
    <row r="390" spans="1:1">
      <c r="A390" s="90"/>
    </row>
    <row r="391" spans="1:1">
      <c r="A391" s="90"/>
    </row>
    <row r="392" spans="1:1">
      <c r="A392" s="90"/>
    </row>
    <row r="393" spans="1:1">
      <c r="A393" s="90"/>
    </row>
    <row r="394" spans="1:1">
      <c r="A394" s="90"/>
    </row>
    <row r="395" spans="1:1">
      <c r="A395" s="90"/>
    </row>
    <row r="396" spans="1:1">
      <c r="A396" s="90"/>
    </row>
    <row r="397" spans="1:1">
      <c r="A397" s="90"/>
    </row>
    <row r="398" spans="1:1">
      <c r="A398" s="90"/>
    </row>
    <row r="399" spans="1:1">
      <c r="A399" s="90"/>
    </row>
    <row r="400" spans="1:1">
      <c r="A400" s="90"/>
    </row>
    <row r="401" spans="1:1">
      <c r="A401" s="90"/>
    </row>
    <row r="402" spans="1:1">
      <c r="A402" s="90"/>
    </row>
    <row r="403" spans="1:1">
      <c r="A403" s="90"/>
    </row>
    <row r="404" spans="1:1">
      <c r="A404" s="90"/>
    </row>
    <row r="405" spans="1:1">
      <c r="A405" s="90"/>
    </row>
    <row r="406" spans="1:1">
      <c r="A406" s="90"/>
    </row>
    <row r="407" spans="1:1">
      <c r="A407" s="90"/>
    </row>
    <row r="408" spans="1:1">
      <c r="A408" s="90"/>
    </row>
    <row r="409" spans="1:1">
      <c r="A409" s="90"/>
    </row>
    <row r="410" spans="1:1">
      <c r="A410" s="90"/>
    </row>
    <row r="411" spans="1:1">
      <c r="A411" s="90"/>
    </row>
    <row r="412" spans="1:1">
      <c r="A412" s="90"/>
    </row>
    <row r="413" spans="1:1">
      <c r="A413" s="90"/>
    </row>
    <row r="414" spans="1:1">
      <c r="A414" s="90"/>
    </row>
    <row r="415" spans="1:1">
      <c r="A415" s="90"/>
    </row>
    <row r="416" spans="1:1">
      <c r="A416" s="90"/>
    </row>
    <row r="417" spans="1:1">
      <c r="A417" s="90"/>
    </row>
    <row r="418" spans="1:1">
      <c r="A418" s="90"/>
    </row>
    <row r="419" spans="1:1">
      <c r="A419" s="90"/>
    </row>
    <row r="420" spans="1:1">
      <c r="A420" s="90"/>
    </row>
    <row r="421" spans="1:1">
      <c r="A421" s="90"/>
    </row>
    <row r="422" spans="1:1">
      <c r="A422" s="90"/>
    </row>
    <row r="423" spans="1:1">
      <c r="A423" s="90"/>
    </row>
    <row r="424" spans="1:1">
      <c r="A424" s="90"/>
    </row>
    <row r="425" spans="1:1">
      <c r="A425" s="90"/>
    </row>
    <row r="426" spans="1:1">
      <c r="A426" s="90"/>
    </row>
    <row r="427" spans="1:1">
      <c r="A427" s="90"/>
    </row>
    <row r="428" spans="1:1">
      <c r="A428" s="90"/>
    </row>
    <row r="429" spans="1:1">
      <c r="A429" s="90"/>
    </row>
    <row r="430" spans="1:1">
      <c r="A430" s="90"/>
    </row>
    <row r="431" spans="1:1">
      <c r="A431" s="90"/>
    </row>
    <row r="432" spans="1:1">
      <c r="A432" s="90"/>
    </row>
    <row r="433" spans="1:1">
      <c r="A433" s="90"/>
    </row>
    <row r="434" spans="1:1">
      <c r="A434" s="90"/>
    </row>
    <row r="435" spans="1:1">
      <c r="A435" s="90"/>
    </row>
    <row r="436" spans="1:1">
      <c r="A436" s="90"/>
    </row>
    <row r="437" spans="1:1">
      <c r="A437" s="90"/>
    </row>
    <row r="438" spans="1:1">
      <c r="A438" s="90"/>
    </row>
    <row r="439" spans="1:1">
      <c r="A439" s="90"/>
    </row>
    <row r="440" spans="1:1">
      <c r="A440" s="90"/>
    </row>
    <row r="441" spans="1:1">
      <c r="A441" s="90"/>
    </row>
    <row r="442" spans="1:1">
      <c r="A442" s="90"/>
    </row>
    <row r="443" spans="1:1">
      <c r="A443" s="90"/>
    </row>
    <row r="444" spans="1:1">
      <c r="A444" s="90"/>
    </row>
    <row r="445" spans="1:1">
      <c r="A445" s="90"/>
    </row>
    <row r="446" spans="1:1">
      <c r="A446" s="90"/>
    </row>
    <row r="447" spans="1:1">
      <c r="A447" s="90"/>
    </row>
    <row r="448" spans="1:1">
      <c r="A448" s="90"/>
    </row>
    <row r="449" spans="1:1">
      <c r="A449" s="90"/>
    </row>
    <row r="450" spans="1:1">
      <c r="A450" s="90"/>
    </row>
    <row r="451" spans="1:1">
      <c r="A451" s="90"/>
    </row>
    <row r="452" spans="1:1">
      <c r="A452" s="90"/>
    </row>
    <row r="453" spans="1:1">
      <c r="A453" s="90"/>
    </row>
    <row r="454" spans="1:1">
      <c r="A454" s="90"/>
    </row>
    <row r="455" spans="1:1">
      <c r="A455" s="90"/>
    </row>
    <row r="456" spans="1:1">
      <c r="A456" s="90"/>
    </row>
    <row r="457" spans="1:1">
      <c r="A457" s="90"/>
    </row>
    <row r="458" spans="1:1">
      <c r="A458" s="90"/>
    </row>
    <row r="459" spans="1:1">
      <c r="A459" s="90"/>
    </row>
    <row r="460" spans="1:1">
      <c r="A460" s="90"/>
    </row>
    <row r="461" spans="1:1">
      <c r="A461" s="90"/>
    </row>
    <row r="462" spans="1:1">
      <c r="A462" s="90"/>
    </row>
    <row r="463" spans="1:1">
      <c r="A463" s="90"/>
    </row>
    <row r="464" spans="1:1">
      <c r="A464" s="90"/>
    </row>
    <row r="465" spans="1:1">
      <c r="A465" s="90"/>
    </row>
    <row r="466" spans="1:1">
      <c r="A466" s="90"/>
    </row>
    <row r="467" spans="1:1">
      <c r="A467" s="90"/>
    </row>
    <row r="468" spans="1:1">
      <c r="A468" s="90"/>
    </row>
    <row r="469" spans="1:1">
      <c r="A469" s="90"/>
    </row>
    <row r="470" spans="1:1">
      <c r="A470" s="90"/>
    </row>
    <row r="471" spans="1:1">
      <c r="A471" s="90"/>
    </row>
    <row r="472" spans="1:1">
      <c r="A472" s="90"/>
    </row>
    <row r="473" spans="1:1">
      <c r="A473" s="90"/>
    </row>
    <row r="474" spans="1:1">
      <c r="A474" s="90"/>
    </row>
    <row r="475" spans="1:1">
      <c r="A475" s="90"/>
    </row>
    <row r="476" spans="1:1">
      <c r="A476" s="90"/>
    </row>
    <row r="477" spans="1:1">
      <c r="A477" s="90"/>
    </row>
    <row r="478" spans="1:1">
      <c r="A478" s="90"/>
    </row>
    <row r="479" spans="1:1">
      <c r="A479" s="90"/>
    </row>
    <row r="480" spans="1:1">
      <c r="A480" s="90"/>
    </row>
    <row r="481" spans="1:1">
      <c r="A481" s="90"/>
    </row>
    <row r="482" spans="1:1">
      <c r="A482" s="90"/>
    </row>
    <row r="483" spans="1:1">
      <c r="A483" s="90"/>
    </row>
    <row r="484" spans="1:1">
      <c r="A484" s="90"/>
    </row>
    <row r="485" spans="1:1">
      <c r="A485" s="90"/>
    </row>
    <row r="486" spans="1:1">
      <c r="A486" s="90"/>
    </row>
    <row r="487" spans="1:1">
      <c r="A487" s="90"/>
    </row>
    <row r="488" spans="1:1">
      <c r="A488" s="90"/>
    </row>
    <row r="489" spans="1:1">
      <c r="A489" s="90"/>
    </row>
    <row r="490" spans="1:1">
      <c r="A490" s="90"/>
    </row>
    <row r="491" spans="1:1">
      <c r="A491" s="90"/>
    </row>
    <row r="492" spans="1:1">
      <c r="A492" s="90"/>
    </row>
    <row r="493" spans="1:1">
      <c r="A493" s="90"/>
    </row>
    <row r="494" spans="1:1">
      <c r="A494" s="90"/>
    </row>
    <row r="495" spans="1:1">
      <c r="A495" s="90"/>
    </row>
    <row r="496" spans="1:1">
      <c r="A496" s="90"/>
    </row>
    <row r="497" spans="1:1">
      <c r="A497" s="90"/>
    </row>
    <row r="498" spans="1:1">
      <c r="A498" s="90"/>
    </row>
    <row r="499" spans="1:1">
      <c r="A499" s="90"/>
    </row>
    <row r="500" spans="1:1">
      <c r="A500" s="90"/>
    </row>
    <row r="501" spans="1:1">
      <c r="A501" s="90"/>
    </row>
    <row r="502" spans="1:1">
      <c r="A502" s="90"/>
    </row>
    <row r="503" spans="1:1">
      <c r="A503" s="90"/>
    </row>
    <row r="504" spans="1:1">
      <c r="A504" s="90"/>
    </row>
    <row r="505" spans="1:1">
      <c r="A505" s="90"/>
    </row>
    <row r="506" spans="1:1">
      <c r="A506" s="90"/>
    </row>
    <row r="507" spans="1:1">
      <c r="A507" s="90"/>
    </row>
    <row r="508" spans="1:1">
      <c r="A508" s="90"/>
    </row>
    <row r="509" spans="1:1">
      <c r="A509" s="90"/>
    </row>
    <row r="510" spans="1:1">
      <c r="A510" s="90"/>
    </row>
    <row r="511" spans="1:1">
      <c r="A511" s="90"/>
    </row>
    <row r="512" spans="1:1">
      <c r="A512" s="90"/>
    </row>
    <row r="513" spans="1:1">
      <c r="A513" s="90"/>
    </row>
    <row r="514" spans="1:1">
      <c r="A514" s="90"/>
    </row>
    <row r="515" spans="1:1">
      <c r="A515" s="90"/>
    </row>
    <row r="516" spans="1:1">
      <c r="A516" s="90"/>
    </row>
    <row r="517" spans="1:1">
      <c r="A517" s="90"/>
    </row>
    <row r="518" spans="1:1">
      <c r="A518" s="90"/>
    </row>
    <row r="519" spans="1:1">
      <c r="A519" s="90"/>
    </row>
    <row r="520" spans="1:1">
      <c r="A520" s="90"/>
    </row>
    <row r="521" spans="1:1">
      <c r="A521" s="90"/>
    </row>
    <row r="522" spans="1:1">
      <c r="A522" s="90"/>
    </row>
    <row r="523" spans="1:1">
      <c r="A523" s="90"/>
    </row>
    <row r="524" spans="1:1">
      <c r="A524" s="90"/>
    </row>
    <row r="525" spans="1:1">
      <c r="A525" s="90"/>
    </row>
    <row r="526" spans="1:1">
      <c r="A526" s="90"/>
    </row>
    <row r="527" spans="1:1">
      <c r="A527" s="90"/>
    </row>
    <row r="528" spans="1:1">
      <c r="A528" s="90"/>
    </row>
    <row r="529" spans="1:1">
      <c r="A529" s="90"/>
    </row>
    <row r="530" spans="1:1">
      <c r="A530" s="90"/>
    </row>
    <row r="531" spans="1:1">
      <c r="A531" s="90"/>
    </row>
    <row r="532" spans="1:1">
      <c r="A532" s="90"/>
    </row>
    <row r="533" spans="1:1">
      <c r="A533" s="90"/>
    </row>
    <row r="534" spans="1:1">
      <c r="A534" s="90"/>
    </row>
    <row r="535" spans="1:1">
      <c r="A535" s="90"/>
    </row>
    <row r="536" spans="1:1">
      <c r="A536" s="90"/>
    </row>
    <row r="537" spans="1:1">
      <c r="A537" s="90"/>
    </row>
    <row r="538" spans="1:1">
      <c r="A538" s="90"/>
    </row>
    <row r="539" spans="1:1">
      <c r="A539" s="90"/>
    </row>
    <row r="540" spans="1:1">
      <c r="A540" s="90"/>
    </row>
    <row r="541" spans="1:1">
      <c r="A541" s="90"/>
    </row>
    <row r="542" spans="1:1">
      <c r="A542" s="90"/>
    </row>
    <row r="543" spans="1:1">
      <c r="A543" s="90"/>
    </row>
    <row r="544" spans="1:1">
      <c r="A544" s="90"/>
    </row>
    <row r="545" spans="1:1">
      <c r="A545" s="90"/>
    </row>
    <row r="546" spans="1:1">
      <c r="A546" s="90"/>
    </row>
    <row r="547" spans="1:1">
      <c r="A547" s="90"/>
    </row>
    <row r="548" spans="1:1">
      <c r="A548" s="90"/>
    </row>
    <row r="549" spans="1:1">
      <c r="A549" s="90"/>
    </row>
    <row r="550" spans="1:1">
      <c r="A550" s="90"/>
    </row>
    <row r="551" spans="1:1">
      <c r="A551" s="90"/>
    </row>
    <row r="552" spans="1:1">
      <c r="A552" s="90"/>
    </row>
    <row r="553" spans="1:1">
      <c r="A553" s="90"/>
    </row>
    <row r="554" spans="1:1">
      <c r="A554" s="90"/>
    </row>
    <row r="555" spans="1:1">
      <c r="A555" s="90"/>
    </row>
    <row r="556" spans="1:1">
      <c r="A556" s="90"/>
    </row>
    <row r="557" spans="1:1">
      <c r="A557" s="90"/>
    </row>
    <row r="558" spans="1:1">
      <c r="A558" s="90"/>
    </row>
    <row r="559" spans="1:1">
      <c r="A559" s="90"/>
    </row>
    <row r="560" spans="1:1">
      <c r="A560" s="90"/>
    </row>
    <row r="561" spans="1:1">
      <c r="A561" s="90"/>
    </row>
    <row r="562" spans="1:1">
      <c r="A562" s="90"/>
    </row>
    <row r="563" spans="1:1">
      <c r="A563" s="90"/>
    </row>
    <row r="564" spans="1:1">
      <c r="A564" s="90"/>
    </row>
    <row r="565" spans="1:1">
      <c r="A565" s="90"/>
    </row>
    <row r="566" spans="1:1">
      <c r="A566" s="90"/>
    </row>
    <row r="567" spans="1:1">
      <c r="A567" s="90"/>
    </row>
    <row r="568" spans="1:1">
      <c r="A568" s="90"/>
    </row>
    <row r="569" spans="1:1">
      <c r="A569" s="90"/>
    </row>
    <row r="570" spans="1:1">
      <c r="A570" s="90"/>
    </row>
    <row r="571" spans="1:1">
      <c r="A571" s="90"/>
    </row>
    <row r="572" spans="1:1">
      <c r="A572" s="90"/>
    </row>
    <row r="573" spans="1:1">
      <c r="A573" s="90"/>
    </row>
    <row r="574" spans="1:1">
      <c r="A574" s="90"/>
    </row>
    <row r="575" spans="1:1">
      <c r="A575" s="90"/>
    </row>
    <row r="576" spans="1:1">
      <c r="A576" s="90"/>
    </row>
    <row r="577" spans="1:1">
      <c r="A577" s="90"/>
    </row>
    <row r="578" spans="1:1">
      <c r="A578" s="90"/>
    </row>
    <row r="579" spans="1:1">
      <c r="A579" s="90"/>
    </row>
    <row r="580" spans="1:1">
      <c r="A580" s="90"/>
    </row>
    <row r="581" spans="1:1">
      <c r="A581" s="90"/>
    </row>
    <row r="582" spans="1:1">
      <c r="A582" s="90"/>
    </row>
    <row r="583" spans="1:1">
      <c r="A583" s="90"/>
    </row>
    <row r="584" spans="1:1">
      <c r="A584" s="90"/>
    </row>
    <row r="585" spans="1:1">
      <c r="A585" s="90"/>
    </row>
    <row r="586" spans="1:1">
      <c r="A586" s="90"/>
    </row>
    <row r="587" spans="1:1">
      <c r="A587" s="90"/>
    </row>
    <row r="588" spans="1:1">
      <c r="A588" s="90"/>
    </row>
    <row r="589" spans="1:1">
      <c r="A589" s="90"/>
    </row>
    <row r="590" spans="1:1">
      <c r="A590" s="90"/>
    </row>
    <row r="591" spans="1:1">
      <c r="A591" s="90"/>
    </row>
    <row r="592" spans="1:1">
      <c r="A592" s="90"/>
    </row>
    <row r="593" spans="1:1">
      <c r="A593" s="90"/>
    </row>
    <row r="594" spans="1:1">
      <c r="A594" s="90"/>
    </row>
    <row r="595" spans="1:1">
      <c r="A595" s="90"/>
    </row>
    <row r="596" spans="1:1">
      <c r="A596" s="90"/>
    </row>
    <row r="597" spans="1:1">
      <c r="A597" s="90"/>
    </row>
    <row r="598" spans="1:1">
      <c r="A598" s="90"/>
    </row>
    <row r="599" spans="1:1">
      <c r="A599" s="90"/>
    </row>
    <row r="600" spans="1:1">
      <c r="A600" s="90"/>
    </row>
    <row r="601" spans="1:1">
      <c r="A601" s="90"/>
    </row>
    <row r="602" spans="1:1">
      <c r="A602" s="90"/>
    </row>
    <row r="603" spans="1:1">
      <c r="A603" s="90"/>
    </row>
    <row r="604" spans="1:1">
      <c r="A604" s="90"/>
    </row>
    <row r="605" spans="1:1">
      <c r="A605" s="90"/>
    </row>
    <row r="606" spans="1:1">
      <c r="A606" s="90"/>
    </row>
    <row r="607" spans="1:1">
      <c r="A607" s="90"/>
    </row>
    <row r="608" spans="1:1">
      <c r="A608" s="90"/>
    </row>
    <row r="609" spans="1:1">
      <c r="A609" s="90"/>
    </row>
    <row r="610" spans="1:1">
      <c r="A610" s="90"/>
    </row>
    <row r="611" spans="1:1">
      <c r="A611" s="90"/>
    </row>
    <row r="612" spans="1:1">
      <c r="A612" s="90"/>
    </row>
    <row r="613" spans="1:1">
      <c r="A613" s="90"/>
    </row>
    <row r="614" spans="1:1">
      <c r="A614" s="90"/>
    </row>
    <row r="615" spans="1:1">
      <c r="A615" s="90"/>
    </row>
    <row r="616" spans="1:1">
      <c r="A616" s="90"/>
    </row>
    <row r="617" spans="1:1">
      <c r="A617" s="90"/>
    </row>
    <row r="618" spans="1:1">
      <c r="A618" s="90"/>
    </row>
    <row r="619" spans="1:1">
      <c r="A619" s="90"/>
    </row>
    <row r="620" spans="1:1">
      <c r="A620" s="90"/>
    </row>
    <row r="621" spans="1:1">
      <c r="A621" s="90"/>
    </row>
    <row r="622" spans="1:1">
      <c r="A622" s="90"/>
    </row>
    <row r="623" spans="1:1">
      <c r="A623" s="90"/>
    </row>
    <row r="624" spans="1:1">
      <c r="A624" s="90"/>
    </row>
    <row r="625" spans="1:1">
      <c r="A625" s="90"/>
    </row>
    <row r="626" spans="1:1">
      <c r="A626" s="90"/>
    </row>
    <row r="627" spans="1:1">
      <c r="A627" s="90"/>
    </row>
    <row r="628" spans="1:1">
      <c r="A628" s="90"/>
    </row>
    <row r="629" spans="1:1">
      <c r="A629" s="90"/>
    </row>
    <row r="630" spans="1:1">
      <c r="A630" s="90"/>
    </row>
    <row r="631" spans="1:1">
      <c r="A631" s="90"/>
    </row>
    <row r="632" spans="1:1">
      <c r="A632" s="90"/>
    </row>
    <row r="633" spans="1:1">
      <c r="A633" s="90"/>
    </row>
    <row r="634" spans="1:1">
      <c r="A634" s="90"/>
    </row>
    <row r="635" spans="1:1">
      <c r="A635" s="90"/>
    </row>
    <row r="636" spans="1:1">
      <c r="A636" s="90"/>
    </row>
    <row r="637" spans="1:1">
      <c r="A637" s="90"/>
    </row>
    <row r="638" spans="1:1">
      <c r="A638" s="90"/>
    </row>
    <row r="639" spans="1:1">
      <c r="A639" s="90"/>
    </row>
    <row r="640" spans="1:1">
      <c r="A640" s="90"/>
    </row>
    <row r="641" spans="1:1">
      <c r="A641" s="90"/>
    </row>
    <row r="642" spans="1:1">
      <c r="A642" s="90"/>
    </row>
    <row r="643" spans="1:1">
      <c r="A643" s="90"/>
    </row>
    <row r="644" spans="1:1">
      <c r="A644" s="90"/>
    </row>
    <row r="645" spans="1:1">
      <c r="A645" s="90"/>
    </row>
    <row r="646" spans="1:1">
      <c r="A646" s="90"/>
    </row>
    <row r="647" spans="1:1">
      <c r="A647" s="90"/>
    </row>
    <row r="648" spans="1:1">
      <c r="A648" s="90"/>
    </row>
    <row r="649" spans="1:1">
      <c r="A649" s="90"/>
    </row>
    <row r="650" spans="1:1">
      <c r="A650" s="90"/>
    </row>
    <row r="651" spans="1:1">
      <c r="A651" s="90"/>
    </row>
    <row r="652" spans="1:1">
      <c r="A652" s="90"/>
    </row>
    <row r="653" spans="1:1">
      <c r="A653" s="90"/>
    </row>
    <row r="654" spans="1:1">
      <c r="A654" s="90"/>
    </row>
    <row r="655" spans="1:1">
      <c r="A655" s="90"/>
    </row>
    <row r="656" spans="1:1">
      <c r="A656" s="90"/>
    </row>
    <row r="657" spans="1:1">
      <c r="A657" s="90"/>
    </row>
    <row r="658" spans="1:1">
      <c r="A658" s="90"/>
    </row>
    <row r="659" spans="1:1">
      <c r="A659" s="90"/>
    </row>
    <row r="660" spans="1:1">
      <c r="A660" s="90"/>
    </row>
    <row r="661" spans="1:1">
      <c r="A661" s="90"/>
    </row>
    <row r="662" spans="1:1">
      <c r="A662" s="90"/>
    </row>
    <row r="663" spans="1:1">
      <c r="A663" s="90"/>
    </row>
    <row r="664" spans="1:1">
      <c r="A664" s="90"/>
    </row>
    <row r="665" spans="1:1">
      <c r="A665" s="90"/>
    </row>
    <row r="666" spans="1:1">
      <c r="A666" s="90"/>
    </row>
    <row r="667" spans="1:1">
      <c r="A667" s="90"/>
    </row>
    <row r="668" spans="1:1">
      <c r="A668" s="90"/>
    </row>
    <row r="669" spans="1:1">
      <c r="A669" s="90"/>
    </row>
    <row r="670" spans="1:1">
      <c r="A670" s="90"/>
    </row>
    <row r="671" spans="1:1">
      <c r="A671" s="90"/>
    </row>
    <row r="672" spans="1:1">
      <c r="A672" s="90"/>
    </row>
    <row r="673" spans="1:1">
      <c r="A673" s="90"/>
    </row>
    <row r="674" spans="1:1">
      <c r="A674" s="90"/>
    </row>
    <row r="675" spans="1:1">
      <c r="A675" s="90"/>
    </row>
    <row r="676" spans="1:1">
      <c r="A676" s="90"/>
    </row>
    <row r="677" spans="1:1">
      <c r="A677" s="90"/>
    </row>
    <row r="678" spans="1:1">
      <c r="A678" s="90"/>
    </row>
    <row r="679" spans="1:1">
      <c r="A679" s="90"/>
    </row>
    <row r="680" spans="1:1">
      <c r="A680" s="90"/>
    </row>
    <row r="681" spans="1:1">
      <c r="A681" s="90"/>
    </row>
    <row r="682" spans="1:1">
      <c r="A682" s="90"/>
    </row>
    <row r="683" spans="1:1">
      <c r="A683" s="90"/>
    </row>
    <row r="684" spans="1:1">
      <c r="A684" s="90"/>
    </row>
    <row r="685" spans="1:1">
      <c r="A685" s="90"/>
    </row>
    <row r="686" spans="1:1">
      <c r="A686" s="90"/>
    </row>
    <row r="687" spans="1:1">
      <c r="A687" s="90"/>
    </row>
    <row r="688" spans="1:1">
      <c r="A688" s="90"/>
    </row>
    <row r="689" spans="1:1">
      <c r="A689" s="90"/>
    </row>
    <row r="690" spans="1:1">
      <c r="A690" s="90"/>
    </row>
    <row r="691" spans="1:1">
      <c r="A691" s="90"/>
    </row>
    <row r="692" spans="1:1">
      <c r="A692" s="90"/>
    </row>
    <row r="693" spans="1:1">
      <c r="A693" s="90"/>
    </row>
    <row r="694" spans="1:1">
      <c r="A694" s="90"/>
    </row>
    <row r="695" spans="1:1">
      <c r="A695" s="90"/>
    </row>
    <row r="696" spans="1:1">
      <c r="A696" s="90"/>
    </row>
    <row r="697" spans="1:1">
      <c r="A697" s="90"/>
    </row>
    <row r="698" spans="1:1">
      <c r="A698" s="90"/>
    </row>
    <row r="699" spans="1:1">
      <c r="A699" s="90"/>
    </row>
    <row r="700" spans="1:1">
      <c r="A700" s="90"/>
    </row>
    <row r="701" spans="1:1">
      <c r="A701" s="90"/>
    </row>
    <row r="702" spans="1:1">
      <c r="A702" s="90"/>
    </row>
    <row r="703" spans="1:1">
      <c r="A703" s="90"/>
    </row>
    <row r="704" spans="1:1">
      <c r="A704" s="90"/>
    </row>
    <row r="705" spans="1:1">
      <c r="A705" s="90"/>
    </row>
    <row r="706" spans="1:1">
      <c r="A706" s="90"/>
    </row>
    <row r="707" spans="1:1">
      <c r="A707" s="90"/>
    </row>
    <row r="708" spans="1:1">
      <c r="A708" s="90"/>
    </row>
    <row r="709" spans="1:1">
      <c r="A709" s="90"/>
    </row>
    <row r="710" spans="1:1">
      <c r="A710" s="90"/>
    </row>
    <row r="711" spans="1:1">
      <c r="A711" s="90"/>
    </row>
    <row r="712" spans="1:1">
      <c r="A712" s="90"/>
    </row>
    <row r="713" spans="1:1">
      <c r="A713" s="90"/>
    </row>
    <row r="714" spans="1:1">
      <c r="A714" s="90"/>
    </row>
    <row r="715" spans="1:1">
      <c r="A715" s="90"/>
    </row>
    <row r="716" spans="1:1">
      <c r="A716" s="90"/>
    </row>
    <row r="717" spans="1:1">
      <c r="A717" s="90"/>
    </row>
    <row r="718" spans="1:1">
      <c r="A718" s="90"/>
    </row>
    <row r="719" spans="1:1">
      <c r="A719" s="90"/>
    </row>
    <row r="720" spans="1:1">
      <c r="A720" s="90"/>
    </row>
    <row r="721" spans="1:1">
      <c r="A721" s="90"/>
    </row>
    <row r="722" spans="1:1">
      <c r="A722" s="90"/>
    </row>
    <row r="723" spans="1:1">
      <c r="A723" s="90"/>
    </row>
    <row r="724" spans="1:1">
      <c r="A724" s="90"/>
    </row>
    <row r="725" spans="1:1">
      <c r="A725" s="90"/>
    </row>
    <row r="726" spans="1:1">
      <c r="A726" s="90"/>
    </row>
    <row r="727" spans="1:1">
      <c r="A727" s="90"/>
    </row>
    <row r="728" spans="1:1">
      <c r="A728" s="90"/>
    </row>
    <row r="729" spans="1:1">
      <c r="A729" s="90"/>
    </row>
    <row r="730" spans="1:1">
      <c r="A730" s="90"/>
    </row>
    <row r="731" spans="1:1">
      <c r="A731" s="90"/>
    </row>
    <row r="732" spans="1:1">
      <c r="A732" s="90"/>
    </row>
    <row r="733" spans="1:1">
      <c r="A733" s="90"/>
    </row>
    <row r="734" spans="1:1">
      <c r="A734" s="90"/>
    </row>
    <row r="735" spans="1:1">
      <c r="A735" s="90"/>
    </row>
    <row r="736" spans="1:1">
      <c r="A736" s="90"/>
    </row>
    <row r="737" spans="1:1">
      <c r="A737" s="90"/>
    </row>
    <row r="738" spans="1:1">
      <c r="A738" s="90"/>
    </row>
    <row r="739" spans="1:1">
      <c r="A739" s="90"/>
    </row>
    <row r="740" spans="1:1">
      <c r="A740" s="90"/>
    </row>
    <row r="741" spans="1:1">
      <c r="A741" s="90"/>
    </row>
    <row r="742" spans="1:1">
      <c r="A742" s="90"/>
    </row>
    <row r="743" spans="1:1">
      <c r="A743" s="90"/>
    </row>
    <row r="744" spans="1:1">
      <c r="A744" s="90"/>
    </row>
    <row r="745" spans="1:1">
      <c r="A745" s="90"/>
    </row>
    <row r="746" spans="1:1">
      <c r="A746" s="90"/>
    </row>
    <row r="747" spans="1:1">
      <c r="A747" s="90"/>
    </row>
    <row r="748" spans="1:1">
      <c r="A748" s="90"/>
    </row>
    <row r="749" spans="1:1">
      <c r="A749" s="90"/>
    </row>
    <row r="750" spans="1:1">
      <c r="A750" s="90"/>
    </row>
    <row r="751" spans="1:1">
      <c r="A751" s="90"/>
    </row>
    <row r="752" spans="1:1">
      <c r="A752" s="90"/>
    </row>
    <row r="753" spans="1:1">
      <c r="A753" s="90"/>
    </row>
    <row r="754" spans="1:1">
      <c r="A754" s="90"/>
    </row>
    <row r="755" spans="1:1">
      <c r="A755" s="90"/>
    </row>
    <row r="756" spans="1:1">
      <c r="A756" s="90"/>
    </row>
    <row r="757" spans="1:1">
      <c r="A757" s="90"/>
    </row>
    <row r="758" spans="1:1">
      <c r="A758" s="90"/>
    </row>
    <row r="759" spans="1:1">
      <c r="A759" s="90"/>
    </row>
    <row r="760" spans="1:1">
      <c r="A760" s="90"/>
    </row>
    <row r="761" spans="1:1">
      <c r="A761" s="90"/>
    </row>
    <row r="762" spans="1:1">
      <c r="A762" s="90"/>
    </row>
    <row r="763" spans="1:1">
      <c r="A763" s="90"/>
    </row>
    <row r="764" spans="1:1">
      <c r="A764" s="90"/>
    </row>
    <row r="765" spans="1:1">
      <c r="A765" s="90"/>
    </row>
    <row r="766" spans="1:1">
      <c r="A766" s="90"/>
    </row>
    <row r="767" spans="1:1">
      <c r="A767" s="90"/>
    </row>
    <row r="768" spans="1:1">
      <c r="A768" s="90"/>
    </row>
    <row r="769" spans="1:1">
      <c r="A769" s="90"/>
    </row>
    <row r="770" spans="1:1">
      <c r="A770" s="90"/>
    </row>
    <row r="771" spans="1:1">
      <c r="A771" s="90"/>
    </row>
    <row r="772" spans="1:1">
      <c r="A772" s="90"/>
    </row>
    <row r="773" spans="1:1">
      <c r="A773" s="90"/>
    </row>
    <row r="774" spans="1:1">
      <c r="A774" s="90"/>
    </row>
    <row r="775" spans="1:1">
      <c r="A775" s="90"/>
    </row>
    <row r="776" spans="1:1">
      <c r="A776" s="90"/>
    </row>
    <row r="777" spans="1:1">
      <c r="A777" s="90"/>
    </row>
    <row r="778" spans="1:1">
      <c r="A778" s="90"/>
    </row>
    <row r="779" spans="1:1">
      <c r="A779" s="90"/>
    </row>
    <row r="780" spans="1:1">
      <c r="A780" s="90"/>
    </row>
    <row r="781" spans="1:1">
      <c r="A781" s="90"/>
    </row>
    <row r="782" spans="1:1">
      <c r="A782" s="90"/>
    </row>
    <row r="783" spans="1:1">
      <c r="A783" s="90"/>
    </row>
    <row r="784" spans="1:1">
      <c r="A784" s="90"/>
    </row>
    <row r="785" spans="1:1">
      <c r="A785" s="90"/>
    </row>
    <row r="786" spans="1:1">
      <c r="A786" s="90"/>
    </row>
    <row r="787" spans="1:1">
      <c r="A787" s="90"/>
    </row>
    <row r="788" spans="1:1">
      <c r="A788" s="90"/>
    </row>
    <row r="789" spans="1:1">
      <c r="A789" s="90"/>
    </row>
    <row r="790" spans="1:1">
      <c r="A790" s="90"/>
    </row>
    <row r="791" spans="1:1">
      <c r="A791" s="90"/>
    </row>
    <row r="792" spans="1:1">
      <c r="A792" s="90"/>
    </row>
    <row r="793" spans="1:1">
      <c r="A793" s="90"/>
    </row>
    <row r="794" spans="1:1">
      <c r="A794" s="90"/>
    </row>
    <row r="795" spans="1:1">
      <c r="A795" s="90"/>
    </row>
    <row r="796" spans="1:1">
      <c r="A796" s="90"/>
    </row>
    <row r="797" spans="1:1">
      <c r="A797" s="90"/>
    </row>
    <row r="798" spans="1:1">
      <c r="A798" s="90"/>
    </row>
    <row r="799" spans="1:1">
      <c r="A799" s="90"/>
    </row>
    <row r="800" spans="1:1">
      <c r="A800" s="90"/>
    </row>
    <row r="801" spans="1:1">
      <c r="A801" s="90"/>
    </row>
    <row r="802" spans="1:1">
      <c r="A802" s="90"/>
    </row>
    <row r="803" spans="1:1">
      <c r="A803" s="90"/>
    </row>
    <row r="804" spans="1:1">
      <c r="A804" s="90"/>
    </row>
    <row r="805" spans="1:1">
      <c r="A805" s="90"/>
    </row>
    <row r="806" spans="1:1">
      <c r="A806" s="90"/>
    </row>
    <row r="807" spans="1:1">
      <c r="A807" s="90"/>
    </row>
    <row r="808" spans="1:1">
      <c r="A808" s="90"/>
    </row>
    <row r="809" spans="1:1">
      <c r="A809" s="90"/>
    </row>
    <row r="810" spans="1:1">
      <c r="A810" s="90"/>
    </row>
    <row r="811" spans="1:1">
      <c r="A811" s="90"/>
    </row>
    <row r="812" spans="1:1">
      <c r="A812" s="90"/>
    </row>
    <row r="813" spans="1:1">
      <c r="A813" s="90"/>
    </row>
    <row r="814" spans="1:1">
      <c r="A814" s="90"/>
    </row>
    <row r="815" spans="1:1">
      <c r="A815" s="90"/>
    </row>
    <row r="816" spans="1:1">
      <c r="A816" s="90"/>
    </row>
    <row r="817" spans="1:1">
      <c r="A817" s="90"/>
    </row>
    <row r="818" spans="1:1">
      <c r="A818" s="90"/>
    </row>
    <row r="819" spans="1:1">
      <c r="A819" s="90"/>
    </row>
    <row r="820" spans="1:1">
      <c r="A820" s="90"/>
    </row>
    <row r="821" spans="1:1">
      <c r="A821" s="90"/>
    </row>
    <row r="822" spans="1:1">
      <c r="A822" s="90"/>
    </row>
    <row r="823" spans="1:1">
      <c r="A823" s="90"/>
    </row>
    <row r="824" spans="1:1">
      <c r="A824" s="90"/>
    </row>
    <row r="825" spans="1:1">
      <c r="A825" s="90"/>
    </row>
    <row r="826" spans="1:1">
      <c r="A826" s="90"/>
    </row>
    <row r="827" spans="1:1">
      <c r="A827" s="90"/>
    </row>
    <row r="828" spans="1:1">
      <c r="A828" s="90"/>
    </row>
    <row r="829" spans="1:1">
      <c r="A829" s="90"/>
    </row>
    <row r="830" spans="1:1">
      <c r="A830" s="90"/>
    </row>
    <row r="831" spans="1:1">
      <c r="A831" s="90"/>
    </row>
    <row r="832" spans="1:1">
      <c r="A832" s="90"/>
    </row>
    <row r="833" spans="1:1">
      <c r="A833" s="90"/>
    </row>
    <row r="834" spans="1:1">
      <c r="A834" s="90"/>
    </row>
    <row r="835" spans="1:1">
      <c r="A835" s="90"/>
    </row>
    <row r="836" spans="1:1">
      <c r="A836" s="90"/>
    </row>
    <row r="837" spans="1:1">
      <c r="A837" s="90"/>
    </row>
    <row r="838" spans="1:1">
      <c r="A838" s="90"/>
    </row>
    <row r="839" spans="1:1">
      <c r="A839" s="90"/>
    </row>
    <row r="840" spans="1:1">
      <c r="A840" s="90"/>
    </row>
    <row r="841" spans="1:1">
      <c r="A841" s="90"/>
    </row>
    <row r="842" spans="1:1">
      <c r="A842" s="90"/>
    </row>
    <row r="843" spans="1:1">
      <c r="A843" s="90"/>
    </row>
    <row r="844" spans="1:1">
      <c r="A844" s="90"/>
    </row>
    <row r="845" spans="1:1">
      <c r="A845" s="90"/>
    </row>
    <row r="846" spans="1:1">
      <c r="A846" s="90"/>
    </row>
    <row r="847" spans="1:1">
      <c r="A847" s="90"/>
    </row>
    <row r="848" spans="1:1">
      <c r="A848" s="90"/>
    </row>
    <row r="849" spans="1:1">
      <c r="A849" s="90"/>
    </row>
    <row r="850" spans="1:1">
      <c r="A850" s="90"/>
    </row>
    <row r="851" spans="1:1">
      <c r="A851" s="90"/>
    </row>
    <row r="852" spans="1:1">
      <c r="A852" s="90"/>
    </row>
    <row r="853" spans="1:1">
      <c r="A853" s="90"/>
    </row>
    <row r="854" spans="1:1">
      <c r="A854" s="90"/>
    </row>
    <row r="855" spans="1:1">
      <c r="A855" s="90"/>
    </row>
    <row r="856" spans="1:1">
      <c r="A856" s="90"/>
    </row>
    <row r="857" spans="1:1">
      <c r="A857" s="90"/>
    </row>
    <row r="858" spans="1:1">
      <c r="A858" s="90"/>
    </row>
    <row r="859" spans="1:1">
      <c r="A859" s="90"/>
    </row>
    <row r="860" spans="1:1">
      <c r="A860" s="90"/>
    </row>
    <row r="861" spans="1:1">
      <c r="A861" s="90"/>
    </row>
    <row r="862" spans="1:1">
      <c r="A862" s="90"/>
    </row>
    <row r="863" spans="1:1">
      <c r="A863" s="90"/>
    </row>
    <row r="864" spans="1:1">
      <c r="A864" s="90"/>
    </row>
    <row r="865" spans="1:1">
      <c r="A865" s="90"/>
    </row>
    <row r="866" spans="1:1">
      <c r="A866" s="90"/>
    </row>
    <row r="867" spans="1:1">
      <c r="A867" s="90"/>
    </row>
    <row r="868" spans="1:1">
      <c r="A868" s="90"/>
    </row>
    <row r="869" spans="1:1">
      <c r="A869" s="90"/>
    </row>
    <row r="870" spans="1:1">
      <c r="A870" s="90"/>
    </row>
    <row r="871" spans="1:1">
      <c r="A871" s="90"/>
    </row>
    <row r="872" spans="1:1">
      <c r="A872" s="90"/>
    </row>
    <row r="873" spans="1:1">
      <c r="A873" s="90"/>
    </row>
    <row r="874" spans="1:1">
      <c r="A874" s="90"/>
    </row>
    <row r="875" spans="1:1">
      <c r="A875" s="90"/>
    </row>
    <row r="876" spans="1:1">
      <c r="A876" s="90"/>
    </row>
    <row r="877" spans="1:1">
      <c r="A877" s="90"/>
    </row>
    <row r="878" spans="1:1">
      <c r="A878" s="90"/>
    </row>
    <row r="879" spans="1:1">
      <c r="A879" s="90"/>
    </row>
    <row r="880" spans="1:1">
      <c r="A880" s="90"/>
    </row>
    <row r="881" spans="1:1">
      <c r="A881" s="90"/>
    </row>
    <row r="882" spans="1:1">
      <c r="A882" s="90"/>
    </row>
    <row r="883" spans="1:1">
      <c r="A883" s="90"/>
    </row>
    <row r="884" spans="1:1">
      <c r="A884" s="90"/>
    </row>
    <row r="885" spans="1:1">
      <c r="A885" s="90"/>
    </row>
    <row r="886" spans="1:1">
      <c r="A886" s="90"/>
    </row>
    <row r="887" spans="1:1">
      <c r="A887" s="90"/>
    </row>
    <row r="888" spans="1:1">
      <c r="A888" s="90"/>
    </row>
    <row r="889" spans="1:1">
      <c r="A889" s="90"/>
    </row>
    <row r="890" spans="1:1">
      <c r="A890" s="90"/>
    </row>
    <row r="891" spans="1:1">
      <c r="A891" s="90"/>
    </row>
    <row r="892" spans="1:1">
      <c r="A892" s="90"/>
    </row>
    <row r="893" spans="1:1">
      <c r="A893" s="90"/>
    </row>
    <row r="894" spans="1:1">
      <c r="A894" s="90"/>
    </row>
    <row r="895" spans="1:1">
      <c r="A895" s="90"/>
    </row>
    <row r="896" spans="1:1">
      <c r="A896" s="90"/>
    </row>
    <row r="897" spans="1:1">
      <c r="A897" s="90"/>
    </row>
    <row r="898" spans="1:1">
      <c r="A898" s="90"/>
    </row>
    <row r="899" spans="1:1">
      <c r="A899" s="90"/>
    </row>
    <row r="900" spans="1:1">
      <c r="A900" s="90"/>
    </row>
    <row r="901" spans="1:1">
      <c r="A901" s="90"/>
    </row>
    <row r="902" spans="1:1">
      <c r="A902" s="90"/>
    </row>
    <row r="903" spans="1:1">
      <c r="A903" s="90"/>
    </row>
    <row r="904" spans="1:1">
      <c r="A904" s="90"/>
    </row>
    <row r="905" spans="1:1">
      <c r="A905" s="90"/>
    </row>
    <row r="906" spans="1:1">
      <c r="A906" s="90"/>
    </row>
    <row r="907" spans="1:1">
      <c r="A907" s="90"/>
    </row>
    <row r="908" spans="1:1">
      <c r="A908" s="90"/>
    </row>
    <row r="909" spans="1:1">
      <c r="A909" s="90"/>
    </row>
    <row r="910" spans="1:1">
      <c r="A910" s="90"/>
    </row>
    <row r="911" spans="1:1">
      <c r="A911" s="90"/>
    </row>
    <row r="912" spans="1:1">
      <c r="A912" s="90"/>
    </row>
    <row r="913" spans="1:1">
      <c r="A913" s="90"/>
    </row>
    <row r="914" spans="1:1">
      <c r="A914" s="90"/>
    </row>
    <row r="915" spans="1:1">
      <c r="A915" s="90"/>
    </row>
    <row r="916" spans="1:1">
      <c r="A916" s="90"/>
    </row>
    <row r="917" spans="1:1">
      <c r="A917" s="90"/>
    </row>
    <row r="918" spans="1:1">
      <c r="A918" s="90"/>
    </row>
    <row r="919" spans="1:1">
      <c r="A919" s="90"/>
    </row>
    <row r="920" spans="1:1">
      <c r="A920" s="90"/>
    </row>
    <row r="921" spans="1:1">
      <c r="A921" s="90"/>
    </row>
    <row r="922" spans="1:1">
      <c r="A922" s="90"/>
    </row>
    <row r="923" spans="1:1">
      <c r="A923" s="90"/>
    </row>
    <row r="924" spans="1:1">
      <c r="A924" s="90"/>
    </row>
    <row r="925" spans="1:1">
      <c r="A925" s="90"/>
    </row>
    <row r="926" spans="1:1">
      <c r="A926" s="90"/>
    </row>
    <row r="927" spans="1:1">
      <c r="A927" s="90"/>
    </row>
    <row r="928" spans="1:1">
      <c r="A928" s="90"/>
    </row>
    <row r="929" spans="1:1">
      <c r="A929" s="90"/>
    </row>
    <row r="930" spans="1:1">
      <c r="A930" s="90"/>
    </row>
    <row r="931" spans="1:1">
      <c r="A931" s="90"/>
    </row>
    <row r="932" spans="1:1">
      <c r="A932" s="90"/>
    </row>
    <row r="933" spans="1:1">
      <c r="A933" s="90"/>
    </row>
    <row r="934" spans="1:1">
      <c r="A934" s="90"/>
    </row>
    <row r="935" spans="1:1">
      <c r="A935" s="90"/>
    </row>
    <row r="936" spans="1:1">
      <c r="A936" s="90"/>
    </row>
    <row r="937" spans="1:1">
      <c r="A937" s="90"/>
    </row>
    <row r="938" spans="1:1">
      <c r="A938" s="90"/>
    </row>
    <row r="939" spans="1:1">
      <c r="A939" s="90"/>
    </row>
    <row r="940" spans="1:1">
      <c r="A940" s="90"/>
    </row>
    <row r="941" spans="1:1">
      <c r="A941" s="90"/>
    </row>
    <row r="942" spans="1:1">
      <c r="A942" s="90"/>
    </row>
    <row r="943" spans="1:1">
      <c r="A943" s="90"/>
    </row>
    <row r="944" spans="1:1">
      <c r="A944" s="90"/>
    </row>
    <row r="945" spans="1:1">
      <c r="A945" s="90"/>
    </row>
    <row r="946" spans="1:1">
      <c r="A946" s="90"/>
    </row>
    <row r="947" spans="1:1">
      <c r="A947" s="90"/>
    </row>
    <row r="948" spans="1:1">
      <c r="A948" s="90"/>
    </row>
    <row r="949" spans="1:1">
      <c r="A949" s="90"/>
    </row>
    <row r="950" spans="1:1">
      <c r="A950" s="90"/>
    </row>
    <row r="951" spans="1:1">
      <c r="A951" s="90"/>
    </row>
    <row r="952" spans="1:1">
      <c r="A952" s="90"/>
    </row>
    <row r="953" spans="1:1">
      <c r="A953" s="90"/>
    </row>
    <row r="954" spans="1:1">
      <c r="A954" s="90"/>
    </row>
    <row r="955" spans="1:1">
      <c r="A955" s="90"/>
    </row>
    <row r="956" spans="1:1">
      <c r="A956" s="90"/>
    </row>
    <row r="957" spans="1:1">
      <c r="A957" s="90"/>
    </row>
    <row r="958" spans="1:1">
      <c r="A958" s="90"/>
    </row>
    <row r="959" spans="1:1">
      <c r="A959" s="90"/>
    </row>
    <row r="960" spans="1:1">
      <c r="A960" s="90"/>
    </row>
    <row r="961" spans="1:1">
      <c r="A961" s="90"/>
    </row>
    <row r="962" spans="1:1">
      <c r="A962" s="90"/>
    </row>
    <row r="963" spans="1:1">
      <c r="A963" s="90"/>
    </row>
    <row r="964" spans="1:1">
      <c r="A964" s="90"/>
    </row>
    <row r="965" spans="1:1">
      <c r="A965" s="90"/>
    </row>
    <row r="966" spans="1:1">
      <c r="A966" s="90"/>
    </row>
    <row r="967" spans="1:1">
      <c r="A967" s="90"/>
    </row>
    <row r="968" spans="1:1">
      <c r="A968" s="90"/>
    </row>
    <row r="969" spans="1:1">
      <c r="A969" s="90"/>
    </row>
    <row r="970" spans="1:1">
      <c r="A970" s="90"/>
    </row>
    <row r="971" spans="1:1">
      <c r="A971" s="90"/>
    </row>
    <row r="972" spans="1:1">
      <c r="A972" s="90"/>
    </row>
    <row r="973" spans="1:1">
      <c r="A973" s="90"/>
    </row>
    <row r="974" spans="1:1">
      <c r="A974" s="90"/>
    </row>
    <row r="975" spans="1:1">
      <c r="A975" s="90"/>
    </row>
    <row r="976" spans="1:1">
      <c r="A976" s="90"/>
    </row>
    <row r="977" spans="1:1">
      <c r="A977" s="90"/>
    </row>
    <row r="978" spans="1:1">
      <c r="A978" s="90"/>
    </row>
    <row r="979" spans="1:1">
      <c r="A979" s="90"/>
    </row>
    <row r="980" spans="1:1">
      <c r="A980" s="90"/>
    </row>
    <row r="981" spans="1:1">
      <c r="A981" s="90"/>
    </row>
    <row r="982" spans="1:1">
      <c r="A982" s="90"/>
    </row>
    <row r="983" spans="1:1">
      <c r="A983" s="90"/>
    </row>
    <row r="984" spans="1:1">
      <c r="A984" s="90"/>
    </row>
    <row r="985" spans="1:1">
      <c r="A985" s="90"/>
    </row>
    <row r="986" spans="1:1">
      <c r="A986" s="90"/>
    </row>
    <row r="987" spans="1:1">
      <c r="A987" s="90"/>
    </row>
    <row r="988" spans="1:1">
      <c r="A988" s="90"/>
    </row>
    <row r="989" spans="1:1">
      <c r="A989" s="90"/>
    </row>
    <row r="990" spans="1:1">
      <c r="A990" s="90"/>
    </row>
    <row r="991" spans="1:1">
      <c r="A991" s="90"/>
    </row>
    <row r="992" spans="1:1">
      <c r="A992" s="90"/>
    </row>
    <row r="993" spans="1:1">
      <c r="A993" s="90"/>
    </row>
    <row r="994" spans="1:1">
      <c r="A994" s="90"/>
    </row>
    <row r="995" spans="1:1">
      <c r="A995" s="90"/>
    </row>
    <row r="996" spans="1:1">
      <c r="A996" s="90"/>
    </row>
    <row r="997" spans="1:1">
      <c r="A997" s="90"/>
    </row>
    <row r="998" spans="1:1">
      <c r="A998" s="90"/>
    </row>
    <row r="999" spans="1:1">
      <c r="A999" s="90"/>
    </row>
    <row r="1000" spans="1:1">
      <c r="A1000" s="90"/>
    </row>
    <row r="1001" spans="1:1">
      <c r="A1001" s="90"/>
    </row>
    <row r="1002" spans="1:1">
      <c r="A1002" s="90"/>
    </row>
    <row r="1003" spans="1:1">
      <c r="A1003" s="90"/>
    </row>
    <row r="1004" spans="1:1">
      <c r="A1004" s="90"/>
    </row>
    <row r="1005" spans="1:1">
      <c r="A1005" s="90"/>
    </row>
    <row r="1006" spans="1:1">
      <c r="A1006" s="90"/>
    </row>
    <row r="1007" spans="1:1">
      <c r="A1007" s="90"/>
    </row>
    <row r="1008" spans="1:1">
      <c r="A1008" s="90"/>
    </row>
    <row r="1009" spans="1:1">
      <c r="A1009" s="90"/>
    </row>
    <row r="1010" spans="1:1">
      <c r="A1010" s="90"/>
    </row>
    <row r="1011" spans="1:1">
      <c r="A1011" s="90"/>
    </row>
    <row r="1012" spans="1:1">
      <c r="A1012" s="90"/>
    </row>
    <row r="1013" spans="1:1">
      <c r="A1013" s="90"/>
    </row>
    <row r="1014" spans="1:1">
      <c r="A1014" s="90"/>
    </row>
    <row r="1015" spans="1:1">
      <c r="A1015" s="90"/>
    </row>
    <row r="1016" spans="1:1">
      <c r="A1016" s="90"/>
    </row>
    <row r="1017" spans="1:1">
      <c r="A1017" s="90"/>
    </row>
    <row r="1018" spans="1:1">
      <c r="A1018" s="90"/>
    </row>
    <row r="1019" spans="1:1">
      <c r="A1019" s="90"/>
    </row>
    <row r="1020" spans="1:1">
      <c r="A1020" s="90"/>
    </row>
    <row r="1021" spans="1:1">
      <c r="A1021" s="90"/>
    </row>
    <row r="1022" spans="1:1">
      <c r="A1022" s="90"/>
    </row>
    <row r="1023" spans="1:1">
      <c r="A1023" s="90"/>
    </row>
    <row r="1024" spans="1:1">
      <c r="A1024" s="90"/>
    </row>
    <row r="1025" spans="1:1">
      <c r="A1025" s="90"/>
    </row>
    <row r="1026" spans="1:1">
      <c r="A1026" s="90"/>
    </row>
    <row r="1027" spans="1:1">
      <c r="A1027" s="90"/>
    </row>
    <row r="1028" spans="1:1">
      <c r="A1028" s="90"/>
    </row>
    <row r="1029" spans="1:1">
      <c r="A1029" s="90"/>
    </row>
    <row r="1030" spans="1:1">
      <c r="A1030" s="90"/>
    </row>
    <row r="1031" spans="1:1">
      <c r="A1031" s="90"/>
    </row>
    <row r="1032" spans="1:1">
      <c r="A1032" s="90"/>
    </row>
    <row r="1033" spans="1:1">
      <c r="A1033" s="90"/>
    </row>
    <row r="1034" spans="1:1">
      <c r="A1034" s="90"/>
    </row>
    <row r="1035" spans="1:1">
      <c r="A1035" s="90"/>
    </row>
    <row r="1036" spans="1:1">
      <c r="A1036" s="90"/>
    </row>
    <row r="1037" spans="1:1">
      <c r="A1037" s="90"/>
    </row>
    <row r="1038" spans="1:1">
      <c r="A1038" s="90"/>
    </row>
    <row r="1039" spans="1:1">
      <c r="A1039" s="90"/>
    </row>
    <row r="1040" spans="1:1">
      <c r="A1040" s="90"/>
    </row>
    <row r="1041" spans="1:1">
      <c r="A1041" s="90"/>
    </row>
    <row r="1042" spans="1:1">
      <c r="A1042" s="90"/>
    </row>
    <row r="1043" spans="1:1">
      <c r="A1043" s="90"/>
    </row>
    <row r="1044" spans="1:1">
      <c r="A1044" s="90"/>
    </row>
    <row r="1045" spans="1:1">
      <c r="A1045" s="90"/>
    </row>
    <row r="1046" spans="1:1">
      <c r="A1046" s="90"/>
    </row>
    <row r="1047" spans="1:1">
      <c r="A1047" s="90"/>
    </row>
    <row r="1048" spans="1:1">
      <c r="A1048" s="90"/>
    </row>
    <row r="1049" spans="1:1">
      <c r="A1049" s="90"/>
    </row>
    <row r="1050" spans="1:1">
      <c r="A1050" s="90"/>
    </row>
    <row r="1051" spans="1:1">
      <c r="A1051" s="90"/>
    </row>
    <row r="1052" spans="1:1">
      <c r="A1052" s="90"/>
    </row>
    <row r="1053" spans="1:1">
      <c r="A1053" s="90"/>
    </row>
    <row r="1054" spans="1:1">
      <c r="A1054" s="90"/>
    </row>
    <row r="1055" spans="1:1">
      <c r="A1055" s="90"/>
    </row>
    <row r="1056" spans="1:1">
      <c r="A1056" s="90"/>
    </row>
    <row r="1057" spans="1:1">
      <c r="A1057" s="90"/>
    </row>
    <row r="1058" spans="1:1">
      <c r="A1058" s="90"/>
    </row>
    <row r="1059" spans="1:1">
      <c r="A1059" s="90"/>
    </row>
    <row r="1060" spans="1:1">
      <c r="A1060" s="90"/>
    </row>
    <row r="1061" spans="1:1">
      <c r="A1061" s="90"/>
    </row>
    <row r="1062" spans="1:1">
      <c r="A1062" s="90"/>
    </row>
    <row r="1063" spans="1:1">
      <c r="A1063" s="90"/>
    </row>
    <row r="1064" spans="1:1">
      <c r="A1064" s="90"/>
    </row>
    <row r="1065" spans="1:1">
      <c r="A1065" s="90"/>
    </row>
    <row r="1066" spans="1:1">
      <c r="A1066" s="90"/>
    </row>
    <row r="1067" spans="1:1">
      <c r="A1067" s="90"/>
    </row>
    <row r="1068" spans="1:1">
      <c r="A1068" s="90"/>
    </row>
    <row r="1069" spans="1:1">
      <c r="A1069" s="90"/>
    </row>
    <row r="1070" spans="1:1">
      <c r="A1070" s="90"/>
    </row>
    <row r="1071" spans="1:1">
      <c r="A1071" s="90"/>
    </row>
    <row r="1072" spans="1:1">
      <c r="A1072" s="90"/>
    </row>
    <row r="1073" spans="1:1">
      <c r="A1073" s="90"/>
    </row>
    <row r="1074" spans="1:1">
      <c r="A1074" s="90"/>
    </row>
    <row r="1075" spans="1:1">
      <c r="A1075" s="90"/>
    </row>
    <row r="1076" spans="1:1">
      <c r="A1076" s="90"/>
    </row>
    <row r="1077" spans="1:1">
      <c r="A1077" s="90"/>
    </row>
    <row r="1078" spans="1:1">
      <c r="A1078" s="90"/>
    </row>
    <row r="1079" spans="1:1">
      <c r="A1079" s="90"/>
    </row>
    <row r="1080" spans="1:1">
      <c r="A1080" s="90"/>
    </row>
    <row r="1081" spans="1:1">
      <c r="A1081" s="90"/>
    </row>
    <row r="1082" spans="1:1">
      <c r="A1082" s="90"/>
    </row>
    <row r="1083" spans="1:1">
      <c r="A1083" s="90"/>
    </row>
    <row r="1084" spans="1:1">
      <c r="A1084" s="90"/>
    </row>
    <row r="1085" spans="1:1">
      <c r="A1085" s="90"/>
    </row>
    <row r="1086" spans="1:1">
      <c r="A1086" s="90"/>
    </row>
    <row r="1087" spans="1:1">
      <c r="A1087" s="90"/>
    </row>
    <row r="1088" spans="1:1">
      <c r="A1088" s="90"/>
    </row>
    <row r="1089" spans="1:1">
      <c r="A1089" s="90"/>
    </row>
    <row r="1090" spans="1:1">
      <c r="A1090" s="90"/>
    </row>
    <row r="1091" spans="1:1">
      <c r="A1091" s="90"/>
    </row>
    <row r="1092" spans="1:1">
      <c r="A1092" s="90"/>
    </row>
    <row r="1093" spans="1:1">
      <c r="A1093" s="90"/>
    </row>
    <row r="1094" spans="1:1">
      <c r="A1094" s="90"/>
    </row>
    <row r="1095" spans="1:1">
      <c r="A1095" s="90"/>
    </row>
    <row r="1096" spans="1:1">
      <c r="A1096" s="90"/>
    </row>
    <row r="1097" spans="1:1">
      <c r="A1097" s="90"/>
    </row>
    <row r="1098" spans="1:1">
      <c r="A1098" s="90"/>
    </row>
    <row r="1099" spans="1:1">
      <c r="A1099" s="90"/>
    </row>
    <row r="1100" spans="1:1">
      <c r="A1100" s="90"/>
    </row>
    <row r="1101" spans="1:1">
      <c r="A1101" s="90"/>
    </row>
    <row r="1102" spans="1:1">
      <c r="A1102" s="90"/>
    </row>
    <row r="1103" spans="1:1">
      <c r="A1103" s="90"/>
    </row>
    <row r="1104" spans="1:1">
      <c r="A1104" s="90"/>
    </row>
    <row r="1105" spans="1:1">
      <c r="A1105" s="90"/>
    </row>
    <row r="1106" spans="1:1">
      <c r="A1106" s="90"/>
    </row>
    <row r="1107" spans="1:1">
      <c r="A1107" s="90"/>
    </row>
    <row r="1108" spans="1:1">
      <c r="A1108" s="90"/>
    </row>
    <row r="1109" spans="1:1">
      <c r="A1109" s="90"/>
    </row>
    <row r="1110" spans="1:1">
      <c r="A1110" s="90"/>
    </row>
    <row r="1111" spans="1:1">
      <c r="A1111" s="90"/>
    </row>
    <row r="1112" spans="1:1">
      <c r="A1112" s="90"/>
    </row>
    <row r="1113" spans="1:1">
      <c r="A1113" s="90"/>
    </row>
    <row r="1114" spans="1:1">
      <c r="A1114" s="90"/>
    </row>
    <row r="1115" spans="1:1">
      <c r="A1115" s="90"/>
    </row>
    <row r="1116" spans="1:1">
      <c r="A1116" s="90"/>
    </row>
    <row r="1117" spans="1:1">
      <c r="A1117" s="90"/>
    </row>
    <row r="1118" spans="1:1">
      <c r="A1118" s="90"/>
    </row>
    <row r="1119" spans="1:1">
      <c r="A1119" s="90"/>
    </row>
    <row r="1120" spans="1:1">
      <c r="A1120" s="90"/>
    </row>
    <row r="1121" spans="1:1">
      <c r="A1121" s="90"/>
    </row>
    <row r="1122" spans="1:1">
      <c r="A1122" s="90"/>
    </row>
    <row r="1123" spans="1:1">
      <c r="A1123" s="90"/>
    </row>
    <row r="1124" spans="1:1">
      <c r="A1124" s="90"/>
    </row>
    <row r="1125" spans="1:1">
      <c r="A1125" s="90"/>
    </row>
    <row r="1126" spans="1:1">
      <c r="A1126" s="90"/>
    </row>
    <row r="1127" spans="1:1">
      <c r="A1127" s="90"/>
    </row>
    <row r="1128" spans="1:1">
      <c r="A1128" s="90"/>
    </row>
    <row r="1129" spans="1:1">
      <c r="A1129" s="90"/>
    </row>
    <row r="1130" spans="1:1">
      <c r="A1130" s="90"/>
    </row>
    <row r="1131" spans="1:1">
      <c r="A1131" s="90"/>
    </row>
    <row r="1132" spans="1:1">
      <c r="A1132" s="90"/>
    </row>
    <row r="1133" spans="1:1">
      <c r="A1133" s="90"/>
    </row>
    <row r="1134" spans="1:1">
      <c r="A1134" s="90"/>
    </row>
    <row r="1135" spans="1:1">
      <c r="A1135" s="90"/>
    </row>
    <row r="1136" spans="1:1">
      <c r="A1136" s="90"/>
    </row>
    <row r="1137" spans="1:1">
      <c r="A1137" s="90"/>
    </row>
    <row r="1138" spans="1:1">
      <c r="A1138" s="90"/>
    </row>
    <row r="1139" spans="1:1">
      <c r="A1139" s="90"/>
    </row>
    <row r="1140" spans="1:1">
      <c r="A1140" s="90"/>
    </row>
    <row r="1141" spans="1:1">
      <c r="A1141" s="90"/>
    </row>
    <row r="1142" spans="1:1">
      <c r="A1142" s="90"/>
    </row>
    <row r="1143" spans="1:1">
      <c r="A1143" s="90"/>
    </row>
    <row r="1144" spans="1:1">
      <c r="A1144" s="90"/>
    </row>
    <row r="1145" spans="1:1">
      <c r="A1145" s="90"/>
    </row>
    <row r="1146" spans="1:1">
      <c r="A1146" s="90"/>
    </row>
    <row r="1147" spans="1:1">
      <c r="A1147" s="90"/>
    </row>
    <row r="1148" spans="1:1">
      <c r="A1148" s="90"/>
    </row>
    <row r="1149" spans="1:1">
      <c r="A1149" s="90"/>
    </row>
    <row r="1150" spans="1:1">
      <c r="A1150" s="90"/>
    </row>
    <row r="1151" spans="1:1">
      <c r="A1151" s="90"/>
    </row>
    <row r="1152" spans="1:1">
      <c r="A1152" s="90"/>
    </row>
    <row r="1153" spans="1:1">
      <c r="A1153" s="90"/>
    </row>
    <row r="1154" spans="1:1">
      <c r="A1154" s="90"/>
    </row>
    <row r="1155" spans="1:1">
      <c r="A1155" s="90"/>
    </row>
    <row r="1156" spans="1:1">
      <c r="A1156" s="90"/>
    </row>
    <row r="1157" spans="1:1">
      <c r="A1157" s="90"/>
    </row>
    <row r="1158" spans="1:1">
      <c r="A1158" s="90"/>
    </row>
    <row r="1159" spans="1:1">
      <c r="A1159" s="90"/>
    </row>
    <row r="1160" spans="1:1">
      <c r="A1160" s="90"/>
    </row>
    <row r="1161" spans="1:1">
      <c r="A1161" s="90"/>
    </row>
    <row r="1162" spans="1:1">
      <c r="A1162" s="90"/>
    </row>
    <row r="1163" spans="1:1">
      <c r="A1163" s="90"/>
    </row>
    <row r="1164" spans="1:1">
      <c r="A1164" s="90"/>
    </row>
    <row r="1165" spans="1:1">
      <c r="A1165" s="90"/>
    </row>
    <row r="1166" spans="1:1">
      <c r="A1166" s="90"/>
    </row>
    <row r="1167" spans="1:1">
      <c r="A1167" s="90"/>
    </row>
    <row r="1168" spans="1:1">
      <c r="A1168" s="90"/>
    </row>
    <row r="1169" spans="1:1">
      <c r="A1169" s="90"/>
    </row>
    <row r="1170" spans="1:1">
      <c r="A1170" s="90"/>
    </row>
    <row r="1171" spans="1:1">
      <c r="A1171" s="90"/>
    </row>
    <row r="1172" spans="1:1">
      <c r="A1172" s="90"/>
    </row>
    <row r="1173" spans="1:1">
      <c r="A1173" s="90"/>
    </row>
    <row r="1174" spans="1:1">
      <c r="A1174" s="90"/>
    </row>
    <row r="1175" spans="1:1">
      <c r="A1175" s="90"/>
    </row>
    <row r="1176" spans="1:1">
      <c r="A1176" s="90"/>
    </row>
    <row r="1177" spans="1:1">
      <c r="A1177" s="90"/>
    </row>
    <row r="1178" spans="1:1">
      <c r="A1178" s="90"/>
    </row>
    <row r="1179" spans="1:1">
      <c r="A1179" s="90"/>
    </row>
    <row r="1180" spans="1:1">
      <c r="A1180" s="90"/>
    </row>
    <row r="1181" spans="1:1">
      <c r="A1181" s="90"/>
    </row>
    <row r="1182" spans="1:1">
      <c r="A1182" s="90"/>
    </row>
    <row r="1183" spans="1:1">
      <c r="A1183" s="90"/>
    </row>
    <row r="1184" spans="1:1">
      <c r="A1184" s="90"/>
    </row>
    <row r="1185" spans="1:1">
      <c r="A1185" s="90"/>
    </row>
    <row r="1186" spans="1:1">
      <c r="A1186" s="90"/>
    </row>
    <row r="1187" spans="1:1">
      <c r="A1187" s="90"/>
    </row>
    <row r="1188" spans="1:1">
      <c r="A1188" s="90"/>
    </row>
    <row r="1189" spans="1:1">
      <c r="A1189" s="90"/>
    </row>
    <row r="1190" spans="1:1">
      <c r="A1190" s="90"/>
    </row>
    <row r="1191" spans="1:1">
      <c r="A1191" s="90"/>
    </row>
    <row r="1192" spans="1:1">
      <c r="A1192" s="90"/>
    </row>
    <row r="1193" spans="1:1">
      <c r="A1193" s="90"/>
    </row>
    <row r="1194" spans="1:1">
      <c r="A1194" s="90"/>
    </row>
    <row r="1195" spans="1:1">
      <c r="A1195" s="90"/>
    </row>
    <row r="1196" spans="1:1">
      <c r="A1196" s="90"/>
    </row>
    <row r="1197" spans="1:1">
      <c r="A1197" s="90"/>
    </row>
    <row r="1198" spans="1:1">
      <c r="A1198" s="90"/>
    </row>
    <row r="1199" spans="1:1">
      <c r="A1199" s="90"/>
    </row>
    <row r="1200" spans="1:1">
      <c r="A1200" s="90"/>
    </row>
    <row r="1201" spans="1:1">
      <c r="A1201" s="90"/>
    </row>
    <row r="1202" spans="1:1">
      <c r="A1202" s="90"/>
    </row>
    <row r="1203" spans="1:1">
      <c r="A1203" s="90"/>
    </row>
    <row r="1204" spans="1:1">
      <c r="A1204" s="90"/>
    </row>
    <row r="1205" spans="1:1">
      <c r="A1205" s="90"/>
    </row>
    <row r="1206" spans="1:1">
      <c r="A1206" s="90"/>
    </row>
    <row r="1207" spans="1:1">
      <c r="A1207" s="90"/>
    </row>
    <row r="1208" spans="1:1">
      <c r="A1208" s="90"/>
    </row>
    <row r="1209" spans="1:1">
      <c r="A1209" s="90"/>
    </row>
    <row r="1210" spans="1:1">
      <c r="A1210" s="90"/>
    </row>
    <row r="1211" spans="1:1">
      <c r="A1211" s="90"/>
    </row>
    <row r="1212" spans="1:1">
      <c r="A1212" s="90"/>
    </row>
    <row r="1213" spans="1:1">
      <c r="A1213" s="90"/>
    </row>
    <row r="1214" spans="1:1">
      <c r="A1214" s="90"/>
    </row>
    <row r="1215" spans="1:1">
      <c r="A1215" s="90"/>
    </row>
    <row r="1216" spans="1:1">
      <c r="A1216" s="90"/>
    </row>
    <row r="1217" spans="1:1">
      <c r="A1217" s="90"/>
    </row>
    <row r="1218" spans="1:1">
      <c r="A1218" s="90"/>
    </row>
    <row r="1219" spans="1:1">
      <c r="A1219" s="90"/>
    </row>
    <row r="1220" spans="1:1">
      <c r="A1220" s="90"/>
    </row>
    <row r="1221" spans="1:1">
      <c r="A1221" s="90"/>
    </row>
    <row r="1222" spans="1:1">
      <c r="A1222" s="90"/>
    </row>
    <row r="1223" spans="1:1">
      <c r="A1223" s="90"/>
    </row>
    <row r="1224" spans="1:1">
      <c r="A1224" s="90"/>
    </row>
    <row r="1225" spans="1:1">
      <c r="A1225" s="90"/>
    </row>
    <row r="1226" spans="1:1">
      <c r="A1226" s="90"/>
    </row>
    <row r="1227" spans="1:1">
      <c r="A1227" s="90"/>
    </row>
    <row r="1228" spans="1:1">
      <c r="A1228" s="90"/>
    </row>
    <row r="1229" spans="1:1">
      <c r="A1229" s="90"/>
    </row>
    <row r="1230" spans="1:1">
      <c r="A1230" s="90"/>
    </row>
    <row r="1231" spans="1:1">
      <c r="A1231" s="90"/>
    </row>
    <row r="1232" spans="1:1">
      <c r="A1232" s="90"/>
    </row>
    <row r="1233" spans="1:1">
      <c r="A1233" s="90"/>
    </row>
    <row r="1234" spans="1:1">
      <c r="A1234" s="90"/>
    </row>
    <row r="1235" spans="1:1">
      <c r="A1235" s="90"/>
    </row>
    <row r="1236" spans="1:1">
      <c r="A1236" s="90"/>
    </row>
    <row r="1237" spans="1:1">
      <c r="A1237" s="90"/>
    </row>
    <row r="1238" spans="1:1">
      <c r="A1238" s="90"/>
    </row>
    <row r="1239" spans="1:1">
      <c r="A1239" s="90"/>
    </row>
    <row r="1240" spans="1:1">
      <c r="A1240" s="90"/>
    </row>
    <row r="1241" spans="1:1">
      <c r="A1241" s="90"/>
    </row>
    <row r="1242" spans="1:1">
      <c r="A1242" s="90"/>
    </row>
    <row r="1243" spans="1:1">
      <c r="A1243" s="90"/>
    </row>
    <row r="1244" spans="1:1">
      <c r="A1244" s="90"/>
    </row>
    <row r="1245" spans="1:1">
      <c r="A1245" s="90"/>
    </row>
    <row r="1246" spans="1:1">
      <c r="A1246" s="90"/>
    </row>
    <row r="1247" spans="1:1">
      <c r="A1247" s="90"/>
    </row>
    <row r="1248" spans="1:1">
      <c r="A1248" s="90"/>
    </row>
    <row r="1249" spans="1:1">
      <c r="A1249" s="90"/>
    </row>
    <row r="1250" spans="1:1">
      <c r="A1250" s="90"/>
    </row>
    <row r="1251" spans="1:1">
      <c r="A1251" s="90"/>
    </row>
    <row r="1252" spans="1:1">
      <c r="A1252" s="90"/>
    </row>
    <row r="1253" spans="1:1">
      <c r="A1253" s="90"/>
    </row>
    <row r="1254" spans="1:1">
      <c r="A1254" s="90"/>
    </row>
    <row r="1255" spans="1:1">
      <c r="A1255" s="90"/>
    </row>
    <row r="1256" spans="1:1">
      <c r="A1256" s="90"/>
    </row>
    <row r="1257" spans="1:1">
      <c r="A1257" s="90"/>
    </row>
    <row r="1258" spans="1:1">
      <c r="A1258" s="90"/>
    </row>
    <row r="1259" spans="1:1">
      <c r="A1259" s="90"/>
    </row>
    <row r="1260" spans="1:1">
      <c r="A1260" s="90"/>
    </row>
    <row r="1261" spans="1:1">
      <c r="A1261" s="90"/>
    </row>
    <row r="1262" spans="1:1">
      <c r="A1262" s="90"/>
    </row>
    <row r="1263" spans="1:1">
      <c r="A1263" s="90"/>
    </row>
    <row r="1264" spans="1:1">
      <c r="A1264" s="90"/>
    </row>
    <row r="1265" spans="1:1">
      <c r="A1265" s="90"/>
    </row>
    <row r="1266" spans="1:1">
      <c r="A1266" s="90"/>
    </row>
    <row r="1267" spans="1:1">
      <c r="A1267" s="90"/>
    </row>
    <row r="1268" spans="1:1">
      <c r="A1268" s="90"/>
    </row>
    <row r="1269" spans="1:1">
      <c r="A1269" s="90"/>
    </row>
    <row r="1270" spans="1:1">
      <c r="A1270" s="90"/>
    </row>
    <row r="1271" spans="1:1">
      <c r="A1271" s="90"/>
    </row>
    <row r="1272" spans="1:1">
      <c r="A1272" s="90"/>
    </row>
    <row r="1273" spans="1:1">
      <c r="A1273" s="90"/>
    </row>
    <row r="1274" spans="1:1">
      <c r="A1274" s="90"/>
    </row>
    <row r="1275" spans="1:1">
      <c r="A1275" s="90"/>
    </row>
    <row r="1276" spans="1:1">
      <c r="A1276" s="90"/>
    </row>
    <row r="1277" spans="1:1">
      <c r="A1277" s="90"/>
    </row>
    <row r="1278" spans="1:1">
      <c r="A1278" s="90"/>
    </row>
    <row r="1279" spans="1:1">
      <c r="A1279" s="90"/>
    </row>
    <row r="1280" spans="1:1">
      <c r="A1280" s="90"/>
    </row>
    <row r="1281" spans="1:1">
      <c r="A1281" s="90"/>
    </row>
    <row r="1282" spans="1:1">
      <c r="A1282" s="90"/>
    </row>
    <row r="1283" spans="1:1">
      <c r="A1283" s="90"/>
    </row>
    <row r="1284" spans="1:1">
      <c r="A1284" s="90"/>
    </row>
    <row r="1285" spans="1:1">
      <c r="A1285" s="90"/>
    </row>
    <row r="1286" spans="1:1">
      <c r="A1286" s="90"/>
    </row>
    <row r="1287" spans="1:1">
      <c r="A1287" s="90"/>
    </row>
    <row r="1288" spans="1:1">
      <c r="A1288" s="90"/>
    </row>
    <row r="1289" spans="1:1">
      <c r="A1289" s="90"/>
    </row>
    <row r="1290" spans="1:1">
      <c r="A1290" s="90"/>
    </row>
    <row r="1291" spans="1:1">
      <c r="A1291" s="90"/>
    </row>
    <row r="1292" spans="1:1">
      <c r="A1292" s="90"/>
    </row>
    <row r="1293" spans="1:1">
      <c r="A1293" s="90"/>
    </row>
    <row r="1294" spans="1:1">
      <c r="A1294" s="90"/>
    </row>
    <row r="1295" spans="1:1">
      <c r="A1295" s="90"/>
    </row>
    <row r="1296" spans="1:1">
      <c r="A1296" s="90"/>
    </row>
    <row r="1297" spans="1:1">
      <c r="A1297" s="90"/>
    </row>
    <row r="1298" spans="1:1">
      <c r="A1298" s="90"/>
    </row>
    <row r="1299" spans="1:1">
      <c r="A1299" s="90"/>
    </row>
    <row r="1300" spans="1:1">
      <c r="A1300" s="90"/>
    </row>
    <row r="1301" spans="1:1">
      <c r="A1301" s="90"/>
    </row>
    <row r="1302" spans="1:1">
      <c r="A1302" s="90"/>
    </row>
    <row r="1303" spans="1:1">
      <c r="A1303" s="90"/>
    </row>
    <row r="1304" spans="1:1">
      <c r="A1304" s="90"/>
    </row>
    <row r="1305" spans="1:1">
      <c r="A1305" s="90"/>
    </row>
    <row r="1306" spans="1:1">
      <c r="A1306" s="90"/>
    </row>
    <row r="1307" spans="1:1">
      <c r="A1307" s="90"/>
    </row>
    <row r="1308" spans="1:1">
      <c r="A1308" s="90"/>
    </row>
    <row r="1309" spans="1:1">
      <c r="A1309" s="90"/>
    </row>
    <row r="1310" spans="1:1">
      <c r="A1310" s="90"/>
    </row>
    <row r="1311" spans="1:1">
      <c r="A1311" s="90"/>
    </row>
    <row r="1312" spans="1:1">
      <c r="A1312" s="90"/>
    </row>
    <row r="1313" spans="1:1">
      <c r="A1313" s="90"/>
    </row>
    <row r="1314" spans="1:1">
      <c r="A1314" s="90"/>
    </row>
    <row r="1315" spans="1:1">
      <c r="A1315" s="90"/>
    </row>
    <row r="1316" spans="1:1">
      <c r="A1316" s="90"/>
    </row>
    <row r="1317" spans="1:1">
      <c r="A1317" s="90"/>
    </row>
    <row r="1318" spans="1:1">
      <c r="A1318" s="90"/>
    </row>
    <row r="1319" spans="1:1">
      <c r="A1319" s="90"/>
    </row>
    <row r="1320" spans="1:1">
      <c r="A1320" s="90"/>
    </row>
    <row r="1321" spans="1:1">
      <c r="A1321" s="90"/>
    </row>
    <row r="1322" spans="1:1">
      <c r="A1322" s="90"/>
    </row>
    <row r="1323" spans="1:1">
      <c r="A1323" s="90"/>
    </row>
    <row r="1324" spans="1:1">
      <c r="A1324" s="90"/>
    </row>
    <row r="1325" spans="1:1">
      <c r="A1325" s="90"/>
    </row>
    <row r="1326" spans="1:1">
      <c r="A1326" s="90"/>
    </row>
    <row r="1327" spans="1:1">
      <c r="A1327" s="90"/>
    </row>
    <row r="1328" spans="1:1">
      <c r="A1328" s="90"/>
    </row>
    <row r="1329" spans="1:1">
      <c r="A1329" s="90"/>
    </row>
    <row r="1330" spans="1:1">
      <c r="A1330" s="90"/>
    </row>
    <row r="1331" spans="1:1">
      <c r="A1331" s="90"/>
    </row>
    <row r="1332" spans="1:1">
      <c r="A1332" s="90"/>
    </row>
    <row r="1333" spans="1:1">
      <c r="A1333" s="90"/>
    </row>
    <row r="1334" spans="1:1">
      <c r="A1334" s="90"/>
    </row>
    <row r="1335" spans="1:1">
      <c r="A1335" s="90"/>
    </row>
    <row r="1336" spans="1:1">
      <c r="A1336" s="90"/>
    </row>
    <row r="1337" spans="1:1">
      <c r="A1337" s="90"/>
    </row>
    <row r="1338" spans="1:1">
      <c r="A1338" s="90"/>
    </row>
    <row r="1339" spans="1:1">
      <c r="A1339" s="90"/>
    </row>
    <row r="1340" spans="1:1">
      <c r="A1340" s="90"/>
    </row>
    <row r="1341" spans="1:1">
      <c r="A1341" s="90"/>
    </row>
    <row r="1342" spans="1:1">
      <c r="A1342" s="90"/>
    </row>
    <row r="1343" spans="1:1">
      <c r="A1343" s="90"/>
    </row>
    <row r="1344" spans="1:1">
      <c r="A1344" s="90"/>
    </row>
    <row r="1345" spans="1:1">
      <c r="A1345" s="90"/>
    </row>
    <row r="1346" spans="1:1">
      <c r="A1346" s="90"/>
    </row>
    <row r="1347" spans="1:1">
      <c r="A1347" s="90"/>
    </row>
    <row r="1348" spans="1:1">
      <c r="A1348" s="90"/>
    </row>
    <row r="1349" spans="1:1">
      <c r="A1349" s="90"/>
    </row>
    <row r="1350" spans="1:1">
      <c r="A1350" s="90"/>
    </row>
    <row r="1351" spans="1:1">
      <c r="A1351" s="90"/>
    </row>
    <row r="1352" spans="1:1">
      <c r="A1352" s="90"/>
    </row>
    <row r="1353" spans="1:1">
      <c r="A1353" s="90"/>
    </row>
    <row r="1354" spans="1:1">
      <c r="A1354" s="90"/>
    </row>
    <row r="1355" spans="1:1">
      <c r="A1355" s="90"/>
    </row>
    <row r="1356" spans="1:1">
      <c r="A1356" s="90"/>
    </row>
    <row r="1357" spans="1:1">
      <c r="A1357" s="90"/>
    </row>
    <row r="1358" spans="1:1">
      <c r="A1358" s="90"/>
    </row>
    <row r="1359" spans="1:1">
      <c r="A1359" s="90"/>
    </row>
    <row r="1360" spans="1:1">
      <c r="A1360" s="90"/>
    </row>
    <row r="1361" spans="1:1">
      <c r="A1361" s="90"/>
    </row>
    <row r="1362" spans="1:1">
      <c r="A1362" s="90"/>
    </row>
    <row r="1363" spans="1:1">
      <c r="A1363" s="90"/>
    </row>
    <row r="1364" spans="1:1">
      <c r="A1364" s="90"/>
    </row>
    <row r="1365" spans="1:1">
      <c r="A1365" s="90"/>
    </row>
    <row r="1366" spans="1:1">
      <c r="A1366" s="90"/>
    </row>
    <row r="1367" spans="1:1">
      <c r="A1367" s="90"/>
    </row>
    <row r="1368" spans="1:1">
      <c r="A1368" s="90"/>
    </row>
    <row r="1369" spans="1:1">
      <c r="A1369" s="90"/>
    </row>
    <row r="1370" spans="1:1">
      <c r="A1370" s="90"/>
    </row>
    <row r="1371" spans="1:1">
      <c r="A1371" s="90"/>
    </row>
    <row r="1372" spans="1:1">
      <c r="A1372" s="90"/>
    </row>
    <row r="1373" spans="1:1">
      <c r="A1373" s="90"/>
    </row>
    <row r="1374" spans="1:1">
      <c r="A1374" s="90"/>
    </row>
    <row r="1375" spans="1:1">
      <c r="A1375" s="90"/>
    </row>
    <row r="1376" spans="1:1">
      <c r="A1376" s="90"/>
    </row>
    <row r="1377" spans="1:1">
      <c r="A1377" s="90"/>
    </row>
    <row r="1378" spans="1:1">
      <c r="A1378" s="90"/>
    </row>
    <row r="1379" spans="1:1">
      <c r="A1379" s="90"/>
    </row>
    <row r="1380" spans="1:1">
      <c r="A1380" s="90"/>
    </row>
    <row r="1381" spans="1:1">
      <c r="A1381" s="90"/>
    </row>
    <row r="1382" spans="1:1">
      <c r="A1382" s="90"/>
    </row>
    <row r="1383" spans="1:1">
      <c r="A1383" s="90"/>
    </row>
    <row r="1384" spans="1:1">
      <c r="A1384" s="90"/>
    </row>
    <row r="1385" spans="1:1">
      <c r="A1385" s="90"/>
    </row>
    <row r="1386" spans="1:1">
      <c r="A1386" s="90"/>
    </row>
    <row r="1387" spans="1:1">
      <c r="A1387" s="90"/>
    </row>
    <row r="1388" spans="1:1">
      <c r="A1388" s="90"/>
    </row>
    <row r="1389" spans="1:1">
      <c r="A1389" s="90"/>
    </row>
    <row r="1390" spans="1:1">
      <c r="A1390" s="90"/>
    </row>
    <row r="1391" spans="1:1">
      <c r="A1391" s="90"/>
    </row>
    <row r="1392" spans="1:1">
      <c r="A1392" s="90"/>
    </row>
    <row r="1393" spans="1:1">
      <c r="A1393" s="90"/>
    </row>
    <row r="1394" spans="1:1">
      <c r="A1394" s="90"/>
    </row>
    <row r="1395" spans="1:1">
      <c r="A1395" s="90"/>
    </row>
    <row r="1396" spans="1:1">
      <c r="A1396" s="90"/>
    </row>
    <row r="1397" spans="1:1">
      <c r="A1397" s="90"/>
    </row>
    <row r="1398" spans="1:1">
      <c r="A1398" s="90"/>
    </row>
    <row r="1399" spans="1:1">
      <c r="A1399" s="90"/>
    </row>
    <row r="1400" spans="1:1">
      <c r="A1400" s="90"/>
    </row>
    <row r="1401" spans="1:1">
      <c r="A1401" s="90"/>
    </row>
    <row r="1402" spans="1:1">
      <c r="A1402" s="90"/>
    </row>
    <row r="1403" spans="1:1">
      <c r="A1403" s="90"/>
    </row>
    <row r="1404" spans="1:1">
      <c r="A1404" s="90"/>
    </row>
    <row r="1405" spans="1:1">
      <c r="A1405" s="90"/>
    </row>
    <row r="1406" spans="1:1">
      <c r="A1406" s="90"/>
    </row>
    <row r="1407" spans="1:1">
      <c r="A1407" s="90"/>
    </row>
    <row r="1408" spans="1:1">
      <c r="A1408" s="90"/>
    </row>
    <row r="1409" spans="1:1">
      <c r="A1409" s="90"/>
    </row>
    <row r="1410" spans="1:1">
      <c r="A1410" s="90"/>
    </row>
    <row r="1411" spans="1:1">
      <c r="A1411" s="90"/>
    </row>
    <row r="1412" spans="1:1">
      <c r="A1412" s="90"/>
    </row>
    <row r="1413" spans="1:1">
      <c r="A1413" s="90"/>
    </row>
    <row r="1414" spans="1:1">
      <c r="A1414" s="90"/>
    </row>
    <row r="1415" spans="1:1">
      <c r="A1415" s="90"/>
    </row>
    <row r="1416" spans="1:1">
      <c r="A1416" s="90"/>
    </row>
    <row r="1417" spans="1:1">
      <c r="A1417" s="90"/>
    </row>
    <row r="1418" spans="1:1">
      <c r="A1418" s="90"/>
    </row>
    <row r="1419" spans="1:1">
      <c r="A1419" s="90"/>
    </row>
    <row r="1420" spans="1:1">
      <c r="A1420" s="90"/>
    </row>
    <row r="1421" spans="1:1">
      <c r="A1421" s="90"/>
    </row>
    <row r="1422" spans="1:1">
      <c r="A1422" s="90"/>
    </row>
    <row r="1423" spans="1:1">
      <c r="A1423" s="90"/>
    </row>
    <row r="1424" spans="1:1">
      <c r="A1424" s="90"/>
    </row>
    <row r="1425" spans="1:1">
      <c r="A1425" s="90"/>
    </row>
    <row r="1426" spans="1:1">
      <c r="A1426" s="90"/>
    </row>
    <row r="1427" spans="1:1">
      <c r="A1427" s="90"/>
    </row>
    <row r="1428" spans="1:1">
      <c r="A1428" s="90"/>
    </row>
    <row r="1429" spans="1:1">
      <c r="A1429" s="90"/>
    </row>
    <row r="1430" spans="1:1">
      <c r="A1430" s="90"/>
    </row>
    <row r="1431" spans="1:1">
      <c r="A1431" s="90"/>
    </row>
    <row r="1432" spans="1:1">
      <c r="A1432" s="90"/>
    </row>
    <row r="1433" spans="1:1">
      <c r="A1433" s="90"/>
    </row>
    <row r="1434" spans="1:1">
      <c r="A1434" s="90"/>
    </row>
    <row r="1435" spans="1:1">
      <c r="A1435" s="90"/>
    </row>
    <row r="1436" spans="1:1">
      <c r="A1436" s="90"/>
    </row>
    <row r="1437" spans="1:1">
      <c r="A1437" s="90"/>
    </row>
    <row r="1438" spans="1:1">
      <c r="A1438" s="90"/>
    </row>
    <row r="1439" spans="1:1">
      <c r="A1439" s="90"/>
    </row>
    <row r="1440" spans="1:1">
      <c r="A1440" s="90"/>
    </row>
    <row r="1441" spans="1:1">
      <c r="A1441" s="90"/>
    </row>
    <row r="1442" spans="1:1">
      <c r="A1442" s="90"/>
    </row>
    <row r="1443" spans="1:1">
      <c r="A1443" s="90"/>
    </row>
    <row r="1444" spans="1:1">
      <c r="A1444" s="90"/>
    </row>
    <row r="1445" spans="1:1">
      <c r="A1445" s="90"/>
    </row>
    <row r="1446" spans="1:1">
      <c r="A1446" s="90"/>
    </row>
    <row r="1447" spans="1:1">
      <c r="A1447" s="90"/>
    </row>
    <row r="1448" spans="1:1">
      <c r="A1448" s="90"/>
    </row>
    <row r="1449" spans="1:1">
      <c r="A1449" s="90"/>
    </row>
    <row r="1450" spans="1:1">
      <c r="A1450" s="90"/>
    </row>
    <row r="1451" spans="1:1">
      <c r="A1451" s="90"/>
    </row>
    <row r="1452" spans="1:1">
      <c r="A1452" s="90"/>
    </row>
    <row r="1453" spans="1:1">
      <c r="A1453" s="90"/>
    </row>
    <row r="1454" spans="1:1">
      <c r="A1454" s="90"/>
    </row>
    <row r="1455" spans="1:1">
      <c r="A1455" s="90"/>
    </row>
    <row r="1456" spans="1:1">
      <c r="A1456" s="90"/>
    </row>
    <row r="1457" spans="1:1">
      <c r="A1457" s="90"/>
    </row>
    <row r="1458" spans="1:1">
      <c r="A1458" s="90"/>
    </row>
    <row r="1459" spans="1:1">
      <c r="A1459" s="90"/>
    </row>
    <row r="1460" spans="1:1">
      <c r="A1460" s="90"/>
    </row>
    <row r="1461" spans="1:1">
      <c r="A1461" s="90"/>
    </row>
    <row r="1462" spans="1:1">
      <c r="A1462" s="90"/>
    </row>
    <row r="1463" spans="1:1">
      <c r="A1463" s="90"/>
    </row>
    <row r="1464" spans="1:1">
      <c r="A1464" s="90"/>
    </row>
    <row r="1465" spans="1:1">
      <c r="A1465" s="90"/>
    </row>
    <row r="1466" spans="1:1">
      <c r="A1466" s="90"/>
    </row>
    <row r="1467" spans="1:1">
      <c r="A1467" s="90"/>
    </row>
    <row r="1468" spans="1:1">
      <c r="A1468" s="90"/>
    </row>
    <row r="1469" spans="1:1">
      <c r="A1469" s="90"/>
    </row>
    <row r="1470" spans="1:1">
      <c r="A1470" s="90"/>
    </row>
    <row r="1471" spans="1:1">
      <c r="A1471" s="90"/>
    </row>
    <row r="1472" spans="1:1">
      <c r="A1472" s="90"/>
    </row>
    <row r="1473" spans="1:1">
      <c r="A1473" s="90"/>
    </row>
    <row r="1474" spans="1:1">
      <c r="A1474" s="90"/>
    </row>
    <row r="1475" spans="1:1">
      <c r="A1475" s="90"/>
    </row>
    <row r="1476" spans="1:1">
      <c r="A1476" s="90"/>
    </row>
    <row r="1477" spans="1:1">
      <c r="A1477" s="90"/>
    </row>
    <row r="1478" spans="1:1">
      <c r="A1478" s="90"/>
    </row>
    <row r="1479" spans="1:1">
      <c r="A1479" s="90"/>
    </row>
    <row r="1480" spans="1:1">
      <c r="A1480" s="90"/>
    </row>
    <row r="1481" spans="1:1">
      <c r="A1481" s="90"/>
    </row>
    <row r="1482" spans="1:1">
      <c r="A1482" s="90"/>
    </row>
    <row r="1483" spans="1:1">
      <c r="A1483" s="90"/>
    </row>
    <row r="1484" spans="1:1">
      <c r="A1484" s="90"/>
    </row>
    <row r="1485" spans="1:1">
      <c r="A1485" s="90"/>
    </row>
    <row r="1486" spans="1:1">
      <c r="A1486" s="90"/>
    </row>
    <row r="1487" spans="1:1">
      <c r="A1487" s="90"/>
    </row>
    <row r="1488" spans="1:1">
      <c r="A1488" s="90"/>
    </row>
    <row r="1489" spans="1:1">
      <c r="A1489" s="90"/>
    </row>
    <row r="1490" spans="1:1">
      <c r="A1490" s="90"/>
    </row>
    <row r="1491" spans="1:1">
      <c r="A1491" s="90"/>
    </row>
    <row r="1492" spans="1:1">
      <c r="A1492" s="90"/>
    </row>
    <row r="1493" spans="1:1">
      <c r="A1493" s="90"/>
    </row>
    <row r="1494" spans="1:1">
      <c r="A1494" s="90"/>
    </row>
    <row r="1495" spans="1:1">
      <c r="A1495" s="90"/>
    </row>
    <row r="1496" spans="1:1">
      <c r="A1496" s="90"/>
    </row>
    <row r="1497" spans="1:1">
      <c r="A1497" s="90"/>
    </row>
    <row r="1498" spans="1:1">
      <c r="A1498" s="90"/>
    </row>
    <row r="1499" spans="1:1">
      <c r="A1499" s="90"/>
    </row>
    <row r="1500" spans="1:1">
      <c r="A1500" s="90"/>
    </row>
    <row r="1501" spans="1:1">
      <c r="A1501" s="90"/>
    </row>
    <row r="1502" spans="1:1">
      <c r="A1502" s="90"/>
    </row>
    <row r="1503" spans="1:1">
      <c r="A1503" s="90"/>
    </row>
    <row r="1504" spans="1:1">
      <c r="A1504" s="90"/>
    </row>
    <row r="1505" spans="1:1">
      <c r="A1505" s="90"/>
    </row>
    <row r="1506" spans="1:1">
      <c r="A1506" s="90"/>
    </row>
    <row r="1507" spans="1:1">
      <c r="A1507" s="90"/>
    </row>
    <row r="1508" spans="1:1">
      <c r="A1508" s="90"/>
    </row>
    <row r="1509" spans="1:1">
      <c r="A1509" s="90"/>
    </row>
    <row r="1510" spans="1:1">
      <c r="A1510" s="90"/>
    </row>
    <row r="1511" spans="1:1">
      <c r="A1511" s="90"/>
    </row>
    <row r="1512" spans="1:1">
      <c r="A1512" s="90"/>
    </row>
    <row r="1513" spans="1:1">
      <c r="A1513" s="90"/>
    </row>
    <row r="1514" spans="1:1">
      <c r="A1514" s="90"/>
    </row>
    <row r="1515" spans="1:1">
      <c r="A1515" s="90"/>
    </row>
    <row r="1516" spans="1:1">
      <c r="A1516" s="90"/>
    </row>
    <row r="1517" spans="1:1">
      <c r="A1517" s="90"/>
    </row>
    <row r="1518" spans="1:1">
      <c r="A1518" s="90"/>
    </row>
    <row r="1519" spans="1:1">
      <c r="A1519" s="90"/>
    </row>
    <row r="1520" spans="1:1">
      <c r="A1520" s="90"/>
    </row>
    <row r="1521" spans="1:1">
      <c r="A1521" s="90"/>
    </row>
    <row r="1522" spans="1:1">
      <c r="A1522" s="90"/>
    </row>
    <row r="1523" spans="1:1">
      <c r="A1523" s="90"/>
    </row>
    <row r="1524" spans="1:1">
      <c r="A1524" s="90"/>
    </row>
    <row r="1525" spans="1:1">
      <c r="A1525" s="90"/>
    </row>
    <row r="1526" spans="1:1">
      <c r="A1526" s="90"/>
    </row>
    <row r="1527" spans="1:1">
      <c r="A1527" s="90"/>
    </row>
    <row r="1528" spans="1:1">
      <c r="A1528" s="90"/>
    </row>
    <row r="1529" spans="1:1">
      <c r="A1529" s="90"/>
    </row>
    <row r="1530" spans="1:1">
      <c r="A1530" s="90"/>
    </row>
    <row r="1531" spans="1:1">
      <c r="A1531" s="90"/>
    </row>
    <row r="1532" spans="1:1">
      <c r="A1532" s="90"/>
    </row>
    <row r="1533" spans="1:1">
      <c r="A1533" s="90"/>
    </row>
    <row r="1534" spans="1:1">
      <c r="A1534" s="90"/>
    </row>
    <row r="1535" spans="1:1">
      <c r="A1535" s="90"/>
    </row>
    <row r="1536" spans="1:1">
      <c r="A1536" s="90"/>
    </row>
    <row r="1537" spans="1:1">
      <c r="A1537" s="90"/>
    </row>
    <row r="1538" spans="1:1">
      <c r="A1538" s="90"/>
    </row>
    <row r="1539" spans="1:1">
      <c r="A1539" s="90"/>
    </row>
    <row r="1540" spans="1:1">
      <c r="A1540" s="90"/>
    </row>
    <row r="1541" spans="1:1">
      <c r="A1541" s="90"/>
    </row>
    <row r="1542" spans="1:1">
      <c r="A1542" s="90"/>
    </row>
    <row r="1543" spans="1:1">
      <c r="A1543" s="90"/>
    </row>
    <row r="1544" spans="1:1">
      <c r="A1544" s="90"/>
    </row>
    <row r="1545" spans="1:1">
      <c r="A1545" s="90"/>
    </row>
    <row r="1546" spans="1:1">
      <c r="A1546" s="90"/>
    </row>
    <row r="1547" spans="1:1">
      <c r="A1547" s="90"/>
    </row>
    <row r="1548" spans="1:1">
      <c r="A1548" s="90"/>
    </row>
    <row r="1549" spans="1:1">
      <c r="A1549" s="90"/>
    </row>
    <row r="1550" spans="1:1">
      <c r="A1550" s="90"/>
    </row>
    <row r="1551" spans="1:1">
      <c r="A1551" s="90"/>
    </row>
    <row r="1552" spans="1:1">
      <c r="A1552" s="90"/>
    </row>
    <row r="1553" spans="1:1">
      <c r="A1553" s="90"/>
    </row>
    <row r="1554" spans="1:1">
      <c r="A1554" s="90"/>
    </row>
    <row r="1555" spans="1:1">
      <c r="A1555" s="90"/>
    </row>
    <row r="1556" spans="1:1">
      <c r="A1556" s="90"/>
    </row>
    <row r="1557" spans="1:1">
      <c r="A1557" s="90"/>
    </row>
    <row r="1558" spans="1:1">
      <c r="A1558" s="90"/>
    </row>
    <row r="1559" spans="1:1">
      <c r="A1559" s="90"/>
    </row>
    <row r="1560" spans="1:1">
      <c r="A1560" s="90"/>
    </row>
    <row r="1561" spans="1:1">
      <c r="A1561" s="90"/>
    </row>
    <row r="1562" spans="1:1">
      <c r="A1562" s="90"/>
    </row>
    <row r="1563" spans="1:1">
      <c r="A1563" s="90"/>
    </row>
    <row r="1564" spans="1:1">
      <c r="A1564" s="90"/>
    </row>
    <row r="1565" spans="1:1">
      <c r="A1565" s="90"/>
    </row>
    <row r="1566" spans="1:1">
      <c r="A1566" s="90"/>
    </row>
    <row r="1567" spans="1:1">
      <c r="A1567" s="90"/>
    </row>
    <row r="1568" spans="1:1">
      <c r="A1568" s="90"/>
    </row>
    <row r="1569" spans="1:1">
      <c r="A1569" s="90"/>
    </row>
    <row r="1570" spans="1:1">
      <c r="A1570" s="90"/>
    </row>
    <row r="1571" spans="1:1">
      <c r="A1571" s="90"/>
    </row>
    <row r="1572" spans="1:1">
      <c r="A1572" s="90"/>
    </row>
    <row r="1573" spans="1:1">
      <c r="A1573" s="90"/>
    </row>
    <row r="1574" spans="1:1">
      <c r="A1574" s="90"/>
    </row>
    <row r="1575" spans="1:1">
      <c r="A1575" s="90"/>
    </row>
    <row r="1576" spans="1:1">
      <c r="A1576" s="90"/>
    </row>
    <row r="1577" spans="1:1">
      <c r="A1577" s="90"/>
    </row>
    <row r="1578" spans="1:1">
      <c r="A1578" s="90"/>
    </row>
    <row r="1579" spans="1:1">
      <c r="A1579" s="90"/>
    </row>
    <row r="1580" spans="1:1">
      <c r="A1580" s="90"/>
    </row>
    <row r="1581" spans="1:1">
      <c r="A1581" s="90"/>
    </row>
    <row r="1582" spans="1:1">
      <c r="A1582" s="90"/>
    </row>
    <row r="1583" spans="1:1">
      <c r="A1583" s="90"/>
    </row>
    <row r="1584" spans="1:1">
      <c r="A1584" s="90"/>
    </row>
    <row r="1585" spans="1:1">
      <c r="A1585" s="90"/>
    </row>
    <row r="1586" spans="1:1">
      <c r="A1586" s="90"/>
    </row>
    <row r="1587" spans="1:1">
      <c r="A1587" s="90"/>
    </row>
    <row r="1588" spans="1:1">
      <c r="A1588" s="90"/>
    </row>
    <row r="1589" spans="1:1">
      <c r="A1589" s="90"/>
    </row>
    <row r="1590" spans="1:1">
      <c r="A1590" s="90"/>
    </row>
    <row r="1591" spans="1:1">
      <c r="A1591" s="90"/>
    </row>
    <row r="1592" spans="1:1">
      <c r="A1592" s="90"/>
    </row>
    <row r="1593" spans="1:1">
      <c r="A1593" s="90"/>
    </row>
    <row r="1594" spans="1:1">
      <c r="A1594" s="90"/>
    </row>
    <row r="1595" spans="1:1">
      <c r="A1595" s="90"/>
    </row>
    <row r="1596" spans="1:1">
      <c r="A1596" s="90"/>
    </row>
    <row r="1597" spans="1:1">
      <c r="A1597" s="90"/>
    </row>
    <row r="1598" spans="1:1">
      <c r="A1598" s="90"/>
    </row>
    <row r="1599" spans="1:1">
      <c r="A1599" s="90"/>
    </row>
    <row r="1600" spans="1:1">
      <c r="A1600" s="90"/>
    </row>
    <row r="1601" spans="1:1">
      <c r="A1601" s="90"/>
    </row>
    <row r="1602" spans="1:1">
      <c r="A1602" s="90"/>
    </row>
    <row r="1603" spans="1:1">
      <c r="A1603" s="90"/>
    </row>
    <row r="1604" spans="1:1">
      <c r="A1604" s="90"/>
    </row>
    <row r="1605" spans="1:1">
      <c r="A1605" s="90"/>
    </row>
    <row r="1606" spans="1:1">
      <c r="A1606" s="90"/>
    </row>
    <row r="1607" spans="1:1">
      <c r="A1607" s="90"/>
    </row>
    <row r="1608" spans="1:1">
      <c r="A1608" s="90"/>
    </row>
    <row r="1609" spans="1:1">
      <c r="A1609" s="90"/>
    </row>
    <row r="1610" spans="1:1">
      <c r="A1610" s="90"/>
    </row>
    <row r="1611" spans="1:1">
      <c r="A1611" s="90"/>
    </row>
    <row r="1612" spans="1:1">
      <c r="A1612" s="90"/>
    </row>
    <row r="1613" spans="1:1">
      <c r="A1613" s="90"/>
    </row>
    <row r="1614" spans="1:1">
      <c r="A1614" s="90"/>
    </row>
    <row r="1615" spans="1:1">
      <c r="A1615" s="90"/>
    </row>
    <row r="1616" spans="1:1">
      <c r="A1616" s="90"/>
    </row>
    <row r="1617" spans="1:1">
      <c r="A1617" s="90"/>
    </row>
    <row r="1618" spans="1:1">
      <c r="A1618" s="90"/>
    </row>
    <row r="1619" spans="1:1">
      <c r="A1619" s="90"/>
    </row>
    <row r="1620" spans="1:1">
      <c r="A1620" s="90"/>
    </row>
    <row r="1621" spans="1:1">
      <c r="A1621" s="90"/>
    </row>
    <row r="1622" spans="1:1">
      <c r="A1622" s="90"/>
    </row>
    <row r="1623" spans="1:1">
      <c r="A1623" s="90"/>
    </row>
    <row r="1624" spans="1:1">
      <c r="A1624" s="90"/>
    </row>
    <row r="1625" spans="1:1">
      <c r="A1625" s="90"/>
    </row>
    <row r="1626" spans="1:1">
      <c r="A1626" s="90"/>
    </row>
    <row r="1627" spans="1:1">
      <c r="A1627" s="90"/>
    </row>
    <row r="1628" spans="1:1">
      <c r="A1628" s="90"/>
    </row>
    <row r="1629" spans="1:1">
      <c r="A1629" s="90"/>
    </row>
    <row r="1630" spans="1:1">
      <c r="A1630" s="90"/>
    </row>
    <row r="1631" spans="1:1">
      <c r="A1631" s="90"/>
    </row>
    <row r="1632" spans="1:1">
      <c r="A1632" s="90"/>
    </row>
    <row r="1633" spans="1:1">
      <c r="A1633" s="90"/>
    </row>
    <row r="1634" spans="1:1">
      <c r="A1634" s="90"/>
    </row>
    <row r="1635" spans="1:1">
      <c r="A1635" s="90"/>
    </row>
    <row r="1636" spans="1:1">
      <c r="A1636" s="90"/>
    </row>
    <row r="1637" spans="1:1">
      <c r="A1637" s="90"/>
    </row>
    <row r="1638" spans="1:1">
      <c r="A1638" s="90"/>
    </row>
    <row r="1639" spans="1:1">
      <c r="A1639" s="90"/>
    </row>
    <row r="1640" spans="1:1">
      <c r="A1640" s="90"/>
    </row>
    <row r="1641" spans="1:1">
      <c r="A1641" s="90"/>
    </row>
    <row r="1642" spans="1:1">
      <c r="A1642" s="90"/>
    </row>
    <row r="1643" spans="1:1">
      <c r="A1643" s="90"/>
    </row>
    <row r="1644" spans="1:1">
      <c r="A1644" s="90"/>
    </row>
    <row r="1645" spans="1:1">
      <c r="A1645" s="90"/>
    </row>
    <row r="1646" spans="1:1">
      <c r="A1646" s="90"/>
    </row>
    <row r="1647" spans="1:1">
      <c r="A1647" s="90"/>
    </row>
    <row r="1648" spans="1:1">
      <c r="A1648" s="90"/>
    </row>
    <row r="1649" spans="1:1">
      <c r="A1649" s="90"/>
    </row>
    <row r="1650" spans="1:1">
      <c r="A1650" s="90"/>
    </row>
    <row r="1651" spans="1:1">
      <c r="A1651" s="90"/>
    </row>
    <row r="1652" spans="1:1">
      <c r="A1652" s="90"/>
    </row>
    <row r="1653" spans="1:1">
      <c r="A1653" s="90"/>
    </row>
    <row r="1654" spans="1:1">
      <c r="A1654" s="90"/>
    </row>
    <row r="1655" spans="1:1">
      <c r="A1655" s="90"/>
    </row>
    <row r="1656" spans="1:1">
      <c r="A1656" s="90"/>
    </row>
    <row r="1657" spans="1:1">
      <c r="A1657" s="90"/>
    </row>
    <row r="1658" spans="1:1">
      <c r="A1658" s="90"/>
    </row>
    <row r="1659" spans="1:1">
      <c r="A1659" s="90"/>
    </row>
    <row r="1660" spans="1:1">
      <c r="A1660" s="90"/>
    </row>
    <row r="1661" spans="1:1">
      <c r="A1661" s="90"/>
    </row>
    <row r="1662" spans="1:1">
      <c r="A1662" s="90"/>
    </row>
    <row r="1663" spans="1:1">
      <c r="A1663" s="90"/>
    </row>
    <row r="1664" spans="1:1">
      <c r="A1664" s="90"/>
    </row>
    <row r="1665" spans="1:1">
      <c r="A1665" s="90"/>
    </row>
    <row r="1666" spans="1:1">
      <c r="A1666" s="90"/>
    </row>
    <row r="1667" spans="1:1">
      <c r="A1667" s="90"/>
    </row>
    <row r="1668" spans="1:1">
      <c r="A1668" s="90"/>
    </row>
    <row r="1669" spans="1:1">
      <c r="A1669" s="90"/>
    </row>
    <row r="1670" spans="1:1">
      <c r="A1670" s="90"/>
    </row>
    <row r="1671" spans="1:1">
      <c r="A1671" s="90"/>
    </row>
    <row r="1672" spans="1:1">
      <c r="A1672" s="90"/>
    </row>
    <row r="1673" spans="1:1">
      <c r="A1673" s="90"/>
    </row>
    <row r="1674" spans="1:1">
      <c r="A1674" s="90"/>
    </row>
    <row r="1675" spans="1:1">
      <c r="A1675" s="90"/>
    </row>
    <row r="1676" spans="1:1">
      <c r="A1676" s="90"/>
    </row>
    <row r="1677" spans="1:1">
      <c r="A1677" s="90"/>
    </row>
    <row r="1678" spans="1:1">
      <c r="A1678" s="90"/>
    </row>
    <row r="1679" spans="1:1">
      <c r="A1679" s="90"/>
    </row>
    <row r="1680" spans="1:1">
      <c r="A1680" s="90"/>
    </row>
    <row r="1681" spans="1:1">
      <c r="A1681" s="90"/>
    </row>
    <row r="1682" spans="1:1">
      <c r="A1682" s="90"/>
    </row>
    <row r="1683" spans="1:1">
      <c r="A1683" s="90"/>
    </row>
    <row r="1684" spans="1:1">
      <c r="A1684" s="90"/>
    </row>
    <row r="1685" spans="1:1">
      <c r="A1685" s="90"/>
    </row>
    <row r="1686" spans="1:1">
      <c r="A1686" s="90"/>
    </row>
    <row r="1687" spans="1:1">
      <c r="A1687" s="90"/>
    </row>
    <row r="1688" spans="1:1">
      <c r="A1688" s="90"/>
    </row>
    <row r="1689" spans="1:1">
      <c r="A1689" s="90"/>
    </row>
    <row r="1690" spans="1:1">
      <c r="A1690" s="90"/>
    </row>
    <row r="1691" spans="1:1">
      <c r="A1691" s="90"/>
    </row>
    <row r="1692" spans="1:1">
      <c r="A1692" s="90"/>
    </row>
    <row r="1693" spans="1:1">
      <c r="A1693" s="90"/>
    </row>
    <row r="1694" spans="1:1">
      <c r="A1694" s="90"/>
    </row>
    <row r="1695" spans="1:1">
      <c r="A1695" s="90"/>
    </row>
    <row r="1696" spans="1:1">
      <c r="A1696" s="90"/>
    </row>
    <row r="1697" spans="1:1">
      <c r="A1697" s="90"/>
    </row>
    <row r="1698" spans="1:1">
      <c r="A1698" s="90"/>
    </row>
    <row r="1699" spans="1:1">
      <c r="A1699" s="90"/>
    </row>
    <row r="1700" spans="1:1">
      <c r="A1700" s="90"/>
    </row>
    <row r="1701" spans="1:1">
      <c r="A1701" s="90"/>
    </row>
    <row r="1702" spans="1:1">
      <c r="A1702" s="90"/>
    </row>
    <row r="1703" spans="1:1">
      <c r="A1703" s="90"/>
    </row>
    <row r="1704" spans="1:1">
      <c r="A1704" s="90"/>
    </row>
    <row r="1705" spans="1:1">
      <c r="A1705" s="90"/>
    </row>
    <row r="1706" spans="1:1">
      <c r="A1706" s="90"/>
    </row>
    <row r="1707" spans="1:1">
      <c r="A1707" s="90"/>
    </row>
    <row r="1708" spans="1:1">
      <c r="A1708" s="90"/>
    </row>
    <row r="1709" spans="1:1">
      <c r="A1709" s="90"/>
    </row>
    <row r="1710" spans="1:1">
      <c r="A1710" s="90"/>
    </row>
    <row r="1711" spans="1:1">
      <c r="A1711" s="90"/>
    </row>
    <row r="1712" spans="1:1">
      <c r="A1712" s="90"/>
    </row>
    <row r="1713" spans="1:1">
      <c r="A1713" s="90"/>
    </row>
    <row r="1714" spans="1:1">
      <c r="A1714" s="90"/>
    </row>
    <row r="1715" spans="1:1">
      <c r="A1715" s="90"/>
    </row>
    <row r="1716" spans="1:1">
      <c r="A1716" s="90"/>
    </row>
    <row r="1717" spans="1:1">
      <c r="A1717" s="90"/>
    </row>
    <row r="1718" spans="1:1">
      <c r="A1718" s="90"/>
    </row>
    <row r="1719" spans="1:1">
      <c r="A1719" s="90"/>
    </row>
    <row r="1720" spans="1:1">
      <c r="A1720" s="90"/>
    </row>
    <row r="1721" spans="1:1">
      <c r="A1721" s="90"/>
    </row>
    <row r="1722" spans="1:1">
      <c r="A1722" s="90"/>
    </row>
    <row r="1723" spans="1:1">
      <c r="A1723" s="90"/>
    </row>
    <row r="1724" spans="1:1">
      <c r="A1724" s="90"/>
    </row>
    <row r="1725" spans="1:1">
      <c r="A1725" s="90"/>
    </row>
    <row r="1726" spans="1:1">
      <c r="A1726" s="90"/>
    </row>
    <row r="1727" spans="1:1">
      <c r="A1727" s="90"/>
    </row>
    <row r="1728" spans="1:1">
      <c r="A1728" s="90"/>
    </row>
    <row r="1729" spans="1:1">
      <c r="A1729" s="90"/>
    </row>
    <row r="1730" spans="1:1">
      <c r="A1730" s="90"/>
    </row>
    <row r="1731" spans="1:1">
      <c r="A1731" s="90"/>
    </row>
    <row r="1732" spans="1:1">
      <c r="A1732" s="90"/>
    </row>
    <row r="1733" spans="1:1">
      <c r="A1733" s="90"/>
    </row>
    <row r="1734" spans="1:1">
      <c r="A1734" s="90"/>
    </row>
    <row r="1735" spans="1:1">
      <c r="A1735" s="90"/>
    </row>
    <row r="1736" spans="1:1">
      <c r="A1736" s="90"/>
    </row>
    <row r="1737" spans="1:1">
      <c r="A1737" s="90"/>
    </row>
    <row r="1738" spans="1:1">
      <c r="A1738" s="90"/>
    </row>
    <row r="1739" spans="1:1">
      <c r="A1739" s="90"/>
    </row>
    <row r="1740" spans="1:1">
      <c r="A1740" s="90"/>
    </row>
    <row r="1741" spans="1:1">
      <c r="A1741" s="90"/>
    </row>
    <row r="1742" spans="1:1">
      <c r="A1742" s="90"/>
    </row>
    <row r="1743" spans="1:1">
      <c r="A1743" s="90"/>
    </row>
    <row r="1744" spans="1:1">
      <c r="A1744" s="90"/>
    </row>
    <row r="1745" spans="1:1">
      <c r="A1745" s="90"/>
    </row>
    <row r="1746" spans="1:1">
      <c r="A1746" s="90"/>
    </row>
    <row r="1747" spans="1:1">
      <c r="A1747" s="90"/>
    </row>
    <row r="1748" spans="1:1">
      <c r="A1748" s="90"/>
    </row>
    <row r="1749" spans="1:1">
      <c r="A1749" s="90"/>
    </row>
    <row r="1750" spans="1:1">
      <c r="A1750" s="90"/>
    </row>
    <row r="1751" spans="1:1">
      <c r="A1751" s="90"/>
    </row>
    <row r="1752" spans="1:1">
      <c r="A1752" s="90"/>
    </row>
    <row r="1753" spans="1:1">
      <c r="A1753" s="90"/>
    </row>
    <row r="1754" spans="1:1">
      <c r="A1754" s="90"/>
    </row>
    <row r="1755" spans="1:1">
      <c r="A1755" s="90"/>
    </row>
    <row r="1756" spans="1:1">
      <c r="A1756" s="90"/>
    </row>
    <row r="1757" spans="1:1">
      <c r="A1757" s="90"/>
    </row>
    <row r="1758" spans="1:1">
      <c r="A1758" s="90"/>
    </row>
    <row r="1759" spans="1:1">
      <c r="A1759" s="90"/>
    </row>
    <row r="1760" spans="1:1">
      <c r="A1760" s="90"/>
    </row>
    <row r="1761" spans="1:1">
      <c r="A1761" s="90"/>
    </row>
    <row r="1762" spans="1:1">
      <c r="A1762" s="90"/>
    </row>
    <row r="1763" spans="1:1">
      <c r="A1763" s="90"/>
    </row>
    <row r="1764" spans="1:1">
      <c r="A1764" s="90"/>
    </row>
    <row r="1765" spans="1:1">
      <c r="A1765" s="90"/>
    </row>
    <row r="1766" spans="1:1">
      <c r="A1766" s="90"/>
    </row>
    <row r="1767" spans="1:1">
      <c r="A1767" s="90"/>
    </row>
    <row r="1768" spans="1:1">
      <c r="A1768" s="90"/>
    </row>
    <row r="1769" spans="1:1">
      <c r="A1769" s="90"/>
    </row>
    <row r="1770" spans="1:1">
      <c r="A1770" s="90"/>
    </row>
    <row r="1771" spans="1:1">
      <c r="A1771" s="90"/>
    </row>
    <row r="1772" spans="1:1">
      <c r="A1772" s="90"/>
    </row>
    <row r="1773" spans="1:1">
      <c r="A1773" s="90"/>
    </row>
    <row r="1774" spans="1:1">
      <c r="A1774" s="90"/>
    </row>
    <row r="1775" spans="1:1">
      <c r="A1775" s="90"/>
    </row>
    <row r="1776" spans="1:1">
      <c r="A1776" s="90"/>
    </row>
    <row r="1777" spans="1:1">
      <c r="A1777" s="90"/>
    </row>
    <row r="1778" spans="1:1">
      <c r="A1778" s="90"/>
    </row>
    <row r="1779" spans="1:1">
      <c r="A1779" s="90"/>
    </row>
    <row r="1780" spans="1:1">
      <c r="A1780" s="90"/>
    </row>
    <row r="1781" spans="1:1">
      <c r="A1781" s="90"/>
    </row>
    <row r="1782" spans="1:1">
      <c r="A1782" s="90"/>
    </row>
    <row r="1783" spans="1:1">
      <c r="A1783" s="90"/>
    </row>
    <row r="1784" spans="1:1">
      <c r="A1784" s="90"/>
    </row>
    <row r="1785" spans="1:1">
      <c r="A1785" s="90"/>
    </row>
    <row r="1786" spans="1:1">
      <c r="A1786" s="90"/>
    </row>
    <row r="1787" spans="1:1">
      <c r="A1787" s="90"/>
    </row>
    <row r="1788" spans="1:1">
      <c r="A1788" s="90"/>
    </row>
    <row r="1789" spans="1:1">
      <c r="A1789" s="90"/>
    </row>
    <row r="1790" spans="1:1">
      <c r="A1790" s="90"/>
    </row>
    <row r="1791" spans="1:1">
      <c r="A1791" s="90"/>
    </row>
    <row r="1792" spans="1:1">
      <c r="A1792" s="90"/>
    </row>
    <row r="1793" spans="1:1">
      <c r="A1793" s="90"/>
    </row>
    <row r="1794" spans="1:1">
      <c r="A1794" s="90"/>
    </row>
    <row r="1795" spans="1:1">
      <c r="A1795" s="90"/>
    </row>
    <row r="1796" spans="1:1">
      <c r="A1796" s="90"/>
    </row>
    <row r="1797" spans="1:1">
      <c r="A1797" s="90"/>
    </row>
    <row r="1798" spans="1:1">
      <c r="A1798" s="90"/>
    </row>
    <row r="1799" spans="1:1">
      <c r="A1799" s="90"/>
    </row>
    <row r="1800" spans="1:1">
      <c r="A1800" s="90"/>
    </row>
    <row r="1801" spans="1:1">
      <c r="A1801" s="90"/>
    </row>
    <row r="1802" spans="1:1">
      <c r="A1802" s="90"/>
    </row>
    <row r="1803" spans="1:1">
      <c r="A1803" s="90"/>
    </row>
    <row r="1804" spans="1:1">
      <c r="A1804" s="90"/>
    </row>
    <row r="1805" spans="1:1">
      <c r="A1805" s="90"/>
    </row>
    <row r="1806" spans="1:1">
      <c r="A1806" s="90"/>
    </row>
    <row r="1807" spans="1:1">
      <c r="A1807" s="90"/>
    </row>
    <row r="1808" spans="1:1">
      <c r="A1808" s="90"/>
    </row>
    <row r="1809" spans="1:1">
      <c r="A1809" s="90"/>
    </row>
    <row r="1810" spans="1:1">
      <c r="A1810" s="90"/>
    </row>
    <row r="1811" spans="1:1">
      <c r="A1811" s="90"/>
    </row>
    <row r="1812" spans="1:1">
      <c r="A1812" s="90"/>
    </row>
    <row r="1813" spans="1:1">
      <c r="A1813" s="90"/>
    </row>
    <row r="1814" spans="1:1">
      <c r="A1814" s="90"/>
    </row>
    <row r="1815" spans="1:1">
      <c r="A1815" s="90"/>
    </row>
    <row r="1816" spans="1:1">
      <c r="A1816" s="90"/>
    </row>
    <row r="1817" spans="1:1">
      <c r="A1817" s="90"/>
    </row>
    <row r="1818" spans="1:1">
      <c r="A1818" s="90"/>
    </row>
    <row r="1819" spans="1:1">
      <c r="A1819" s="90"/>
    </row>
    <row r="1820" spans="1:1">
      <c r="A1820" s="90"/>
    </row>
    <row r="1821" spans="1:1">
      <c r="A1821" s="90"/>
    </row>
    <row r="1822" spans="1:1">
      <c r="A1822" s="90"/>
    </row>
    <row r="1823" spans="1:1">
      <c r="A1823" s="90"/>
    </row>
    <row r="1824" spans="1:1">
      <c r="A1824" s="90"/>
    </row>
    <row r="1825" spans="1:1">
      <c r="A1825" s="90"/>
    </row>
    <row r="1826" spans="1:1">
      <c r="A1826" s="90"/>
    </row>
    <row r="1827" spans="1:1">
      <c r="A1827" s="90"/>
    </row>
    <row r="1828" spans="1:1">
      <c r="A1828" s="90"/>
    </row>
    <row r="1829" spans="1:1">
      <c r="A1829" s="90"/>
    </row>
    <row r="1830" spans="1:1">
      <c r="A1830" s="90"/>
    </row>
    <row r="1831" spans="1:1">
      <c r="A1831" s="90"/>
    </row>
    <row r="1832" spans="1:1">
      <c r="A1832" s="90"/>
    </row>
    <row r="1833" spans="1:1">
      <c r="A1833" s="90"/>
    </row>
    <row r="1834" spans="1:1">
      <c r="A1834" s="90"/>
    </row>
    <row r="1835" spans="1:1">
      <c r="A1835" s="90"/>
    </row>
    <row r="1836" spans="1:1">
      <c r="A1836" s="90"/>
    </row>
    <row r="1837" spans="1:1">
      <c r="A1837" s="90"/>
    </row>
    <row r="1838" spans="1:1">
      <c r="A1838" s="90"/>
    </row>
    <row r="1839" spans="1:1">
      <c r="A1839" s="90"/>
    </row>
    <row r="1840" spans="1:1">
      <c r="A1840" s="90"/>
    </row>
    <row r="1841" spans="1:1">
      <c r="A1841" s="90"/>
    </row>
    <row r="1842" spans="1:1">
      <c r="A1842" s="90"/>
    </row>
    <row r="1843" spans="1:1">
      <c r="A1843" s="90"/>
    </row>
    <row r="1844" spans="1:1">
      <c r="A1844" s="90"/>
    </row>
    <row r="1845" spans="1:1">
      <c r="A1845" s="90"/>
    </row>
    <row r="1846" spans="1:1">
      <c r="A1846" s="90"/>
    </row>
    <row r="1847" spans="1:1">
      <c r="A1847" s="90"/>
    </row>
    <row r="1848" spans="1:1">
      <c r="A1848" s="90"/>
    </row>
    <row r="1849" spans="1:1">
      <c r="A1849" s="90"/>
    </row>
    <row r="1850" spans="1:1">
      <c r="A1850" s="90"/>
    </row>
    <row r="1851" spans="1:1">
      <c r="A1851" s="90"/>
    </row>
    <row r="1852" spans="1:1">
      <c r="A1852" s="90"/>
    </row>
    <row r="1853" spans="1:1">
      <c r="A1853" s="90"/>
    </row>
    <row r="1854" spans="1:1">
      <c r="A1854" s="90"/>
    </row>
    <row r="1855" spans="1:1">
      <c r="A1855" s="90"/>
    </row>
    <row r="1856" spans="1:1">
      <c r="A1856" s="90"/>
    </row>
    <row r="1857" spans="1:1">
      <c r="A1857" s="90"/>
    </row>
    <row r="1858" spans="1:1">
      <c r="A1858" s="90"/>
    </row>
    <row r="1859" spans="1:1">
      <c r="A1859" s="90"/>
    </row>
    <row r="1860" spans="1:1">
      <c r="A1860" s="90"/>
    </row>
    <row r="1861" spans="1:1">
      <c r="A1861" s="90"/>
    </row>
    <row r="1862" spans="1:1">
      <c r="A1862" s="90"/>
    </row>
    <row r="1863" spans="1:1">
      <c r="A1863" s="90"/>
    </row>
    <row r="1864" spans="1:1">
      <c r="A1864" s="90"/>
    </row>
    <row r="1865" spans="1:1">
      <c r="A1865" s="90"/>
    </row>
    <row r="1866" spans="1:1">
      <c r="A1866" s="90"/>
    </row>
    <row r="1867" spans="1:1">
      <c r="A1867" s="90"/>
    </row>
    <row r="1868" spans="1:1">
      <c r="A1868" s="90"/>
    </row>
    <row r="1869" spans="1:1">
      <c r="A1869" s="90"/>
    </row>
    <row r="1870" spans="1:1">
      <c r="A1870" s="90"/>
    </row>
    <row r="1871" spans="1:1">
      <c r="A1871" s="90"/>
    </row>
    <row r="1872" spans="1:1">
      <c r="A1872" s="90"/>
    </row>
    <row r="1873" spans="1:1">
      <c r="A1873" s="90"/>
    </row>
    <row r="1874" spans="1:1">
      <c r="A1874" s="90"/>
    </row>
    <row r="1875" spans="1:1">
      <c r="A1875" s="90"/>
    </row>
    <row r="1876" spans="1:1">
      <c r="A1876" s="90"/>
    </row>
    <row r="1877" spans="1:1">
      <c r="A1877" s="90"/>
    </row>
    <row r="1878" spans="1:1">
      <c r="A1878" s="90"/>
    </row>
    <row r="1879" spans="1:1">
      <c r="A1879" s="90"/>
    </row>
    <row r="1880" spans="1:1">
      <c r="A1880" s="90"/>
    </row>
    <row r="1881" spans="1:1">
      <c r="A1881" s="90"/>
    </row>
    <row r="1882" spans="1:1">
      <c r="A1882" s="90"/>
    </row>
    <row r="1883" spans="1:1">
      <c r="A1883" s="90"/>
    </row>
    <row r="1884" spans="1:1">
      <c r="A1884" s="90"/>
    </row>
    <row r="1885" spans="1:1">
      <c r="A1885" s="90"/>
    </row>
    <row r="1886" spans="1:1">
      <c r="A1886" s="90"/>
    </row>
    <row r="1887" spans="1:1">
      <c r="A1887" s="90"/>
    </row>
    <row r="1888" spans="1:1">
      <c r="A1888" s="90"/>
    </row>
    <row r="1889" spans="1:1">
      <c r="A1889" s="90"/>
    </row>
    <row r="1890" spans="1:1">
      <c r="A1890" s="90"/>
    </row>
    <row r="1891" spans="1:1">
      <c r="A1891" s="90"/>
    </row>
    <row r="1892" spans="1:1">
      <c r="A1892" s="90"/>
    </row>
    <row r="1893" spans="1:1">
      <c r="A1893" s="90"/>
    </row>
    <row r="1894" spans="1:1">
      <c r="A1894" s="90"/>
    </row>
    <row r="1895" spans="1:1">
      <c r="A1895" s="90"/>
    </row>
    <row r="1896" spans="1:1">
      <c r="A1896" s="90"/>
    </row>
    <row r="1897" spans="1:1">
      <c r="A1897" s="90"/>
    </row>
    <row r="1898" spans="1:1">
      <c r="A1898" s="90"/>
    </row>
    <row r="1899" spans="1:1">
      <c r="A1899" s="90"/>
    </row>
    <row r="1900" spans="1:1">
      <c r="A1900" s="90"/>
    </row>
    <row r="1901" spans="1:1">
      <c r="A1901" s="90"/>
    </row>
    <row r="1902" spans="1:1">
      <c r="A1902" s="90"/>
    </row>
    <row r="1903" spans="1:1">
      <c r="A1903" s="90"/>
    </row>
    <row r="1904" spans="1:1">
      <c r="A1904" s="90"/>
    </row>
    <row r="1905" spans="1:1">
      <c r="A1905" s="90"/>
    </row>
    <row r="1906" spans="1:1">
      <c r="A1906" s="90"/>
    </row>
    <row r="1907" spans="1:1">
      <c r="A1907" s="90"/>
    </row>
    <row r="1908" spans="1:1">
      <c r="A1908" s="90"/>
    </row>
    <row r="1909" spans="1:1">
      <c r="A1909" s="90"/>
    </row>
    <row r="1910" spans="1:1">
      <c r="A1910" s="90"/>
    </row>
    <row r="1911" spans="1:1">
      <c r="A1911" s="90"/>
    </row>
    <row r="1912" spans="1:1">
      <c r="A1912" s="90"/>
    </row>
    <row r="1913" spans="1:1">
      <c r="A1913" s="90"/>
    </row>
    <row r="1914" spans="1:1">
      <c r="A1914" s="90"/>
    </row>
    <row r="1915" spans="1:1">
      <c r="A1915" s="90"/>
    </row>
    <row r="1916" spans="1:1">
      <c r="A1916" s="90"/>
    </row>
    <row r="1917" spans="1:1">
      <c r="A1917" s="90"/>
    </row>
    <row r="1918" spans="1:1">
      <c r="A1918" s="90"/>
    </row>
    <row r="1919" spans="1:1">
      <c r="A1919" s="90"/>
    </row>
    <row r="1920" spans="1:1">
      <c r="A1920" s="90"/>
    </row>
    <row r="1921" spans="1:1">
      <c r="A1921" s="90"/>
    </row>
    <row r="1922" spans="1:1">
      <c r="A1922" s="90"/>
    </row>
    <row r="1923" spans="1:1">
      <c r="A1923" s="90"/>
    </row>
    <row r="1924" spans="1:1">
      <c r="A1924" s="90"/>
    </row>
    <row r="1925" spans="1:1">
      <c r="A1925" s="90"/>
    </row>
    <row r="1926" spans="1:1">
      <c r="A1926" s="90"/>
    </row>
    <row r="1927" spans="1:1">
      <c r="A1927" s="90"/>
    </row>
    <row r="1928" spans="1:1">
      <c r="A1928" s="90"/>
    </row>
    <row r="1929" spans="1:1">
      <c r="A1929" s="90"/>
    </row>
    <row r="1930" spans="1:1">
      <c r="A1930" s="90"/>
    </row>
    <row r="1931" spans="1:1">
      <c r="A1931" s="90"/>
    </row>
    <row r="1932" spans="1:1">
      <c r="A1932" s="90"/>
    </row>
    <row r="1933" spans="1:1">
      <c r="A1933" s="90"/>
    </row>
    <row r="1934" spans="1:1">
      <c r="A1934" s="90"/>
    </row>
    <row r="1935" spans="1:1">
      <c r="A1935" s="90"/>
    </row>
    <row r="1936" spans="1:1">
      <c r="A1936" s="90"/>
    </row>
    <row r="1937" spans="1:1">
      <c r="A1937" s="90"/>
    </row>
    <row r="1938" spans="1:1">
      <c r="A1938" s="90"/>
    </row>
    <row r="1939" spans="1:1">
      <c r="A1939" s="90"/>
    </row>
    <row r="1940" spans="1:1">
      <c r="A1940" s="90"/>
    </row>
    <row r="1941" spans="1:1">
      <c r="A1941" s="90"/>
    </row>
    <row r="1942" spans="1:1">
      <c r="A1942" s="90"/>
    </row>
    <row r="1943" spans="1:1">
      <c r="A1943" s="90"/>
    </row>
    <row r="1944" spans="1:1">
      <c r="A1944" s="90"/>
    </row>
    <row r="1945" spans="1:1">
      <c r="A1945" s="90"/>
    </row>
    <row r="1946" spans="1:1">
      <c r="A1946" s="90"/>
    </row>
    <row r="1947" spans="1:1">
      <c r="A1947" s="90"/>
    </row>
    <row r="1948" spans="1:1">
      <c r="A1948" s="90"/>
    </row>
    <row r="1949" spans="1:1">
      <c r="A1949" s="90"/>
    </row>
    <row r="1950" spans="1:1">
      <c r="A1950" s="90"/>
    </row>
    <row r="1951" spans="1:1">
      <c r="A1951" s="90"/>
    </row>
    <row r="1952" spans="1:1">
      <c r="A1952" s="90"/>
    </row>
    <row r="1953" spans="1:1">
      <c r="A1953" s="90"/>
    </row>
    <row r="1954" spans="1:1">
      <c r="A1954" s="90"/>
    </row>
    <row r="1955" spans="1:1">
      <c r="A1955" s="90"/>
    </row>
    <row r="1956" spans="1:1">
      <c r="A1956" s="90"/>
    </row>
    <row r="1957" spans="1:1">
      <c r="A1957" s="90"/>
    </row>
    <row r="1958" spans="1:1">
      <c r="A1958" s="90"/>
    </row>
    <row r="1959" spans="1:1">
      <c r="A1959" s="90"/>
    </row>
    <row r="1960" spans="1:1">
      <c r="A1960" s="90"/>
    </row>
    <row r="1961" spans="1:1">
      <c r="A1961" s="90"/>
    </row>
    <row r="1962" spans="1:1">
      <c r="A1962" s="90"/>
    </row>
    <row r="1963" spans="1:1">
      <c r="A1963" s="90"/>
    </row>
    <row r="1964" spans="1:1">
      <c r="A1964" s="90"/>
    </row>
    <row r="1965" spans="1:1">
      <c r="A1965" s="90"/>
    </row>
    <row r="1966" spans="1:1">
      <c r="A1966" s="90"/>
    </row>
    <row r="1967" spans="1:1">
      <c r="A1967" s="90"/>
    </row>
    <row r="1968" spans="1:1">
      <c r="A1968" s="90"/>
    </row>
    <row r="1969" spans="1:1">
      <c r="A1969" s="90"/>
    </row>
    <row r="1970" spans="1:1">
      <c r="A1970" s="90"/>
    </row>
    <row r="1971" spans="1:1">
      <c r="A1971" s="90"/>
    </row>
    <row r="1972" spans="1:1">
      <c r="A1972" s="90"/>
    </row>
    <row r="1973" spans="1:1">
      <c r="A1973" s="90"/>
    </row>
    <row r="1974" spans="1:1">
      <c r="A1974" s="90"/>
    </row>
    <row r="1975" spans="1:1">
      <c r="A1975" s="90"/>
    </row>
    <row r="1976" spans="1:1">
      <c r="A1976" s="90"/>
    </row>
    <row r="1977" spans="1:1">
      <c r="A1977" s="90"/>
    </row>
    <row r="1978" spans="1:1">
      <c r="A1978" s="90"/>
    </row>
    <row r="1979" spans="1:1">
      <c r="A1979" s="90"/>
    </row>
    <row r="1980" spans="1:1">
      <c r="A1980" s="90"/>
    </row>
    <row r="1981" spans="1:1">
      <c r="A1981" s="90"/>
    </row>
    <row r="1982" spans="1:1">
      <c r="A1982" s="90"/>
    </row>
    <row r="1983" spans="1:1">
      <c r="A1983" s="90"/>
    </row>
    <row r="1984" spans="1:1">
      <c r="A1984" s="90"/>
    </row>
    <row r="1985" spans="1:1">
      <c r="A1985" s="90"/>
    </row>
    <row r="1986" spans="1:1">
      <c r="A1986" s="90"/>
    </row>
    <row r="1987" spans="1:1">
      <c r="A1987" s="90"/>
    </row>
    <row r="1988" spans="1:1">
      <c r="A1988" s="90"/>
    </row>
    <row r="1989" spans="1:1">
      <c r="A1989" s="90"/>
    </row>
    <row r="1990" spans="1:1">
      <c r="A1990" s="90"/>
    </row>
    <row r="1991" spans="1:1">
      <c r="A1991" s="90"/>
    </row>
    <row r="1992" spans="1:1">
      <c r="A1992" s="90"/>
    </row>
    <row r="1993" spans="1:1">
      <c r="A1993" s="90"/>
    </row>
    <row r="1994" spans="1:1">
      <c r="A1994" s="90"/>
    </row>
    <row r="1995" spans="1:1">
      <c r="A1995" s="90"/>
    </row>
    <row r="1996" spans="1:1">
      <c r="A1996" s="90"/>
    </row>
    <row r="1997" spans="1:1">
      <c r="A1997" s="90"/>
    </row>
    <row r="1998" spans="1:1">
      <c r="A1998" s="90"/>
    </row>
    <row r="1999" spans="1:1">
      <c r="A1999" s="90"/>
    </row>
    <row r="2000" spans="1:1">
      <c r="A2000" s="90"/>
    </row>
    <row r="2001" spans="1:1">
      <c r="A2001" s="90"/>
    </row>
    <row r="2002" spans="1:1">
      <c r="A2002" s="90"/>
    </row>
    <row r="2003" spans="1:1">
      <c r="A2003" s="90"/>
    </row>
    <row r="2004" spans="1:1">
      <c r="A2004" s="90"/>
    </row>
    <row r="2005" spans="1:1">
      <c r="A2005" s="90"/>
    </row>
    <row r="2006" spans="1:1">
      <c r="A2006" s="90"/>
    </row>
    <row r="2007" spans="1:1">
      <c r="A2007" s="90"/>
    </row>
    <row r="2008" spans="1:1">
      <c r="A2008" s="90"/>
    </row>
    <row r="2009" spans="1:1">
      <c r="A2009" s="90"/>
    </row>
    <row r="2010" spans="1:1">
      <c r="A2010" s="90"/>
    </row>
    <row r="2011" spans="1:1">
      <c r="A2011" s="90"/>
    </row>
    <row r="2012" spans="1:1">
      <c r="A2012" s="90"/>
    </row>
    <row r="2013" spans="1:1">
      <c r="A2013" s="90"/>
    </row>
    <row r="2014" spans="1:1">
      <c r="A2014" s="90"/>
    </row>
    <row r="2015" spans="1:1">
      <c r="A2015" s="90"/>
    </row>
    <row r="2016" spans="1:1">
      <c r="A2016" s="90"/>
    </row>
    <row r="2017" spans="1:1">
      <c r="A2017" s="90"/>
    </row>
    <row r="2018" spans="1:1">
      <c r="A2018" s="90"/>
    </row>
    <row r="2019" spans="1:1">
      <c r="A2019" s="90"/>
    </row>
    <row r="2020" spans="1:1">
      <c r="A2020" s="90"/>
    </row>
    <row r="2021" spans="1:1">
      <c r="A2021" s="90"/>
    </row>
    <row r="2022" spans="1:1">
      <c r="A2022" s="90"/>
    </row>
    <row r="2023" spans="1:1">
      <c r="A2023" s="90"/>
    </row>
    <row r="2024" spans="1:1">
      <c r="A2024" s="90"/>
    </row>
    <row r="2025" spans="1:1">
      <c r="A2025" s="90"/>
    </row>
    <row r="2026" spans="1:1">
      <c r="A2026" s="90"/>
    </row>
    <row r="2027" spans="1:1">
      <c r="A2027" s="90"/>
    </row>
    <row r="2028" spans="1:1">
      <c r="A2028" s="90"/>
    </row>
    <row r="2029" spans="1:1">
      <c r="A2029" s="90"/>
    </row>
    <row r="2030" spans="1:1">
      <c r="A2030" s="90"/>
    </row>
    <row r="2031" spans="1:1">
      <c r="A2031" s="90"/>
    </row>
    <row r="2032" spans="1:1">
      <c r="A2032" s="90"/>
    </row>
    <row r="2033" spans="1:1">
      <c r="A2033" s="90"/>
    </row>
    <row r="2034" spans="1:1">
      <c r="A2034" s="90"/>
    </row>
    <row r="2035" spans="1:1">
      <c r="A2035" s="90"/>
    </row>
    <row r="2036" spans="1:1">
      <c r="A2036" s="90"/>
    </row>
    <row r="2037" spans="1:1">
      <c r="A2037" s="90"/>
    </row>
    <row r="2038" spans="1:1">
      <c r="A2038" s="90"/>
    </row>
    <row r="2039" spans="1:1">
      <c r="A2039" s="90"/>
    </row>
    <row r="2040" spans="1:1">
      <c r="A2040" s="90"/>
    </row>
    <row r="2041" spans="1:1">
      <c r="A2041" s="90"/>
    </row>
    <row r="2042" spans="1:1">
      <c r="A2042" s="90"/>
    </row>
    <row r="2043" spans="1:1">
      <c r="A2043" s="90"/>
    </row>
    <row r="2044" spans="1:1">
      <c r="A2044" s="90"/>
    </row>
    <row r="2045" spans="1:1">
      <c r="A2045" s="90"/>
    </row>
    <row r="2046" spans="1:1">
      <c r="A2046" s="90"/>
    </row>
    <row r="2047" spans="1:1">
      <c r="A2047" s="90"/>
    </row>
    <row r="2048" spans="1:1">
      <c r="A2048" s="90"/>
    </row>
    <row r="2049" spans="1:1">
      <c r="A2049" s="90"/>
    </row>
    <row r="2050" spans="1:1">
      <c r="A2050" s="90"/>
    </row>
    <row r="2051" spans="1:1">
      <c r="A2051" s="90"/>
    </row>
    <row r="2052" spans="1:1">
      <c r="A2052" s="90"/>
    </row>
    <row r="2053" spans="1:1">
      <c r="A2053" s="90"/>
    </row>
    <row r="2054" spans="1:1">
      <c r="A2054" s="90"/>
    </row>
    <row r="2055" spans="1:1">
      <c r="A2055" s="90"/>
    </row>
    <row r="2056" spans="1:1">
      <c r="A2056" s="90"/>
    </row>
    <row r="2057" spans="1:1">
      <c r="A2057" s="90"/>
    </row>
    <row r="2058" spans="1:1">
      <c r="A2058" s="90"/>
    </row>
    <row r="2059" spans="1:1">
      <c r="A2059" s="90"/>
    </row>
    <row r="2060" spans="1:1">
      <c r="A2060" s="90"/>
    </row>
    <row r="2061" spans="1:1">
      <c r="A2061" s="90"/>
    </row>
    <row r="2062" spans="1:1">
      <c r="A2062" s="90"/>
    </row>
    <row r="2063" spans="1:1">
      <c r="A2063" s="90"/>
    </row>
    <row r="2064" spans="1:1">
      <c r="A2064" s="90"/>
    </row>
    <row r="2065" spans="1:1">
      <c r="A2065" s="90"/>
    </row>
    <row r="2066" spans="1:1">
      <c r="A2066" s="90"/>
    </row>
    <row r="2067" spans="1:1">
      <c r="A2067" s="90"/>
    </row>
    <row r="2068" spans="1:1">
      <c r="A2068" s="90"/>
    </row>
    <row r="2069" spans="1:1">
      <c r="A2069" s="90"/>
    </row>
    <row r="2070" spans="1:1">
      <c r="A2070" s="90"/>
    </row>
    <row r="2071" spans="1:1">
      <c r="A2071" s="90"/>
    </row>
    <row r="2072" spans="1:1">
      <c r="A2072" s="90"/>
    </row>
    <row r="2073" spans="1:1">
      <c r="A2073" s="90"/>
    </row>
    <row r="2074" spans="1:1">
      <c r="A2074" s="90"/>
    </row>
    <row r="2075" spans="1:1">
      <c r="A2075" s="90"/>
    </row>
    <row r="2076" spans="1:1">
      <c r="A2076" s="90"/>
    </row>
    <row r="2077" spans="1:1">
      <c r="A2077" s="90"/>
    </row>
    <row r="2078" spans="1:1">
      <c r="A2078" s="90"/>
    </row>
    <row r="2079" spans="1:1">
      <c r="A2079" s="90"/>
    </row>
    <row r="2080" spans="1:1">
      <c r="A2080" s="90"/>
    </row>
    <row r="2081" spans="1:1">
      <c r="A2081" s="90"/>
    </row>
    <row r="2082" spans="1:1">
      <c r="A2082" s="90"/>
    </row>
    <row r="2083" spans="1:1">
      <c r="A2083" s="90"/>
    </row>
    <row r="2084" spans="1:1">
      <c r="A2084" s="90"/>
    </row>
    <row r="2085" spans="1:1">
      <c r="A2085" s="90"/>
    </row>
    <row r="2086" spans="1:1">
      <c r="A2086" s="90"/>
    </row>
    <row r="2087" spans="1:1">
      <c r="A2087" s="90"/>
    </row>
    <row r="2088" spans="1:1">
      <c r="A2088" s="90"/>
    </row>
    <row r="2089" spans="1:1">
      <c r="A2089" s="90"/>
    </row>
    <row r="2090" spans="1:1">
      <c r="A2090" s="90"/>
    </row>
    <row r="2091" spans="1:1">
      <c r="A2091" s="90"/>
    </row>
    <row r="2092" spans="1:1">
      <c r="A2092" s="90"/>
    </row>
    <row r="2093" spans="1:1">
      <c r="A2093" s="90"/>
    </row>
    <row r="2094" spans="1:1">
      <c r="A2094" s="90"/>
    </row>
    <row r="2095" spans="1:1">
      <c r="A2095" s="90"/>
    </row>
    <row r="2096" spans="1:1">
      <c r="A2096" s="90"/>
    </row>
    <row r="2097" spans="1:1">
      <c r="A2097" s="90"/>
    </row>
    <row r="2098" spans="1:1">
      <c r="A2098" s="90"/>
    </row>
    <row r="2099" spans="1:1">
      <c r="A2099" s="90"/>
    </row>
    <row r="2100" spans="1:1">
      <c r="A2100" s="90"/>
    </row>
    <row r="2101" spans="1:1">
      <c r="A2101" s="90"/>
    </row>
    <row r="2102" spans="1:1">
      <c r="A2102" s="90"/>
    </row>
    <row r="2103" spans="1:1">
      <c r="A2103" s="90"/>
    </row>
    <row r="2104" spans="1:1">
      <c r="A2104" s="90"/>
    </row>
    <row r="2105" spans="1:1">
      <c r="A2105" s="90"/>
    </row>
    <row r="2106" spans="1:1">
      <c r="A2106" s="90"/>
    </row>
    <row r="2107" spans="1:1">
      <c r="A2107" s="90"/>
    </row>
    <row r="2108" spans="1:1">
      <c r="A2108" s="90"/>
    </row>
    <row r="2109" spans="1:1">
      <c r="A2109" s="90"/>
    </row>
    <row r="2110" spans="1:1">
      <c r="A2110" s="90"/>
    </row>
    <row r="2111" spans="1:1">
      <c r="A2111" s="90"/>
    </row>
    <row r="2112" spans="1:1">
      <c r="A2112" s="90"/>
    </row>
    <row r="2113" spans="1:1">
      <c r="A2113" s="90"/>
    </row>
    <row r="2114" spans="1:1">
      <c r="A2114" s="90"/>
    </row>
    <row r="2115" spans="1:1">
      <c r="A2115" s="90"/>
    </row>
    <row r="2116" spans="1:1">
      <c r="A2116" s="90"/>
    </row>
    <row r="2117" spans="1:1">
      <c r="A2117" s="90"/>
    </row>
    <row r="2118" spans="1:1">
      <c r="A2118" s="90"/>
    </row>
    <row r="2119" spans="1:1">
      <c r="A2119" s="90"/>
    </row>
    <row r="2120" spans="1:1">
      <c r="A2120" s="90"/>
    </row>
    <row r="2121" spans="1:1">
      <c r="A2121" s="90"/>
    </row>
    <row r="2122" spans="1:1">
      <c r="A2122" s="90"/>
    </row>
    <row r="2123" spans="1:1">
      <c r="A2123" s="90"/>
    </row>
    <row r="2124" spans="1:1">
      <c r="A2124" s="90"/>
    </row>
    <row r="2125" spans="1:1">
      <c r="A2125" s="90"/>
    </row>
    <row r="2126" spans="1:1">
      <c r="A2126" s="90"/>
    </row>
    <row r="2127" spans="1:1">
      <c r="A2127" s="90"/>
    </row>
    <row r="2128" spans="1:1">
      <c r="A2128" s="90"/>
    </row>
    <row r="2129" spans="1:1">
      <c r="A2129" s="90"/>
    </row>
    <row r="2130" spans="1:1">
      <c r="A2130" s="90"/>
    </row>
    <row r="2131" spans="1:1">
      <c r="A2131" s="90"/>
    </row>
    <row r="2132" spans="1:1">
      <c r="A2132" s="90"/>
    </row>
    <row r="2133" spans="1:1">
      <c r="A2133" s="90"/>
    </row>
    <row r="2134" spans="1:1">
      <c r="A2134" s="90"/>
    </row>
    <row r="2135" spans="1:1">
      <c r="A2135" s="90"/>
    </row>
    <row r="2136" spans="1:1">
      <c r="A2136" s="90"/>
    </row>
    <row r="2137" spans="1:1">
      <c r="A2137" s="90"/>
    </row>
    <row r="2138" spans="1:1">
      <c r="A2138" s="90"/>
    </row>
    <row r="2139" spans="1:1">
      <c r="A2139" s="90"/>
    </row>
    <row r="2140" spans="1:1">
      <c r="A2140" s="90"/>
    </row>
    <row r="2141" spans="1:1">
      <c r="A2141" s="90"/>
    </row>
    <row r="2142" spans="1:1">
      <c r="A2142" s="90"/>
    </row>
    <row r="2143" spans="1:1">
      <c r="A2143" s="90"/>
    </row>
    <row r="2144" spans="1:1">
      <c r="A2144" s="90"/>
    </row>
    <row r="2145" spans="1:1">
      <c r="A2145" s="90"/>
    </row>
    <row r="2146" spans="1:1">
      <c r="A2146" s="90"/>
    </row>
    <row r="2147" spans="1:1">
      <c r="A2147" s="90"/>
    </row>
    <row r="2148" spans="1:1">
      <c r="A2148" s="90"/>
    </row>
    <row r="2149" spans="1:1">
      <c r="A2149" s="90"/>
    </row>
    <row r="2150" spans="1:1">
      <c r="A2150" s="90"/>
    </row>
    <row r="2151" spans="1:1">
      <c r="A2151" s="90"/>
    </row>
    <row r="2152" spans="1:1">
      <c r="A2152" s="90"/>
    </row>
    <row r="2153" spans="1:1">
      <c r="A2153" s="90"/>
    </row>
    <row r="2154" spans="1:1">
      <c r="A2154" s="90"/>
    </row>
    <row r="2155" spans="1:1">
      <c r="A2155" s="90"/>
    </row>
    <row r="2156" spans="1:1">
      <c r="A2156" s="90"/>
    </row>
    <row r="2157" spans="1:1">
      <c r="A2157" s="90"/>
    </row>
    <row r="2158" spans="1:1">
      <c r="A2158" s="90"/>
    </row>
    <row r="2159" spans="1:1">
      <c r="A2159" s="90"/>
    </row>
    <row r="2160" spans="1:1">
      <c r="A2160" s="90"/>
    </row>
    <row r="2161" spans="1:1">
      <c r="A2161" s="90"/>
    </row>
    <row r="2162" spans="1:1">
      <c r="A2162" s="90"/>
    </row>
    <row r="2163" spans="1:1">
      <c r="A2163" s="90"/>
    </row>
    <row r="2164" spans="1:1">
      <c r="A2164" s="90"/>
    </row>
    <row r="2165" spans="1:1">
      <c r="A2165" s="90"/>
    </row>
    <row r="2166" spans="1:1">
      <c r="A2166" s="90"/>
    </row>
    <row r="2167" spans="1:1">
      <c r="A2167" s="90"/>
    </row>
    <row r="2168" spans="1:1">
      <c r="A2168" s="90"/>
    </row>
    <row r="2169" spans="1:1">
      <c r="A2169" s="90"/>
    </row>
    <row r="2170" spans="1:1">
      <c r="A2170" s="90"/>
    </row>
    <row r="2171" spans="1:1">
      <c r="A2171" s="90"/>
    </row>
    <row r="2172" spans="1:1">
      <c r="A2172" s="90"/>
    </row>
    <row r="2173" spans="1:1">
      <c r="A2173" s="90"/>
    </row>
    <row r="2174" spans="1:1">
      <c r="A2174" s="90"/>
    </row>
    <row r="2175" spans="1:1">
      <c r="A2175" s="90"/>
    </row>
    <row r="2176" spans="1:1">
      <c r="A2176" s="90"/>
    </row>
    <row r="2177" spans="1:1">
      <c r="A2177" s="90"/>
    </row>
    <row r="2178" spans="1:1">
      <c r="A2178" s="90"/>
    </row>
    <row r="2179" spans="1:1">
      <c r="A2179" s="90"/>
    </row>
    <row r="2180" spans="1:1">
      <c r="A2180" s="90"/>
    </row>
    <row r="2181" spans="1:1">
      <c r="A2181" s="90"/>
    </row>
    <row r="2182" spans="1:1">
      <c r="A2182" s="90"/>
    </row>
    <row r="2183" spans="1:1">
      <c r="A2183" s="90"/>
    </row>
    <row r="2184" spans="1:1">
      <c r="A2184" s="90"/>
    </row>
    <row r="2185" spans="1:1">
      <c r="A2185" s="90"/>
    </row>
    <row r="2186" spans="1:1">
      <c r="A2186" s="90"/>
    </row>
    <row r="2187" spans="1:1">
      <c r="A2187" s="90"/>
    </row>
    <row r="2188" spans="1:1">
      <c r="A2188" s="90"/>
    </row>
    <row r="2189" spans="1:1">
      <c r="A2189" s="90"/>
    </row>
    <row r="2190" spans="1:1">
      <c r="A2190" s="90"/>
    </row>
    <row r="2191" spans="1:1">
      <c r="A2191" s="90"/>
    </row>
    <row r="2192" spans="1:1">
      <c r="A2192" s="90"/>
    </row>
    <row r="2193" spans="1:1">
      <c r="A2193" s="90"/>
    </row>
    <row r="2194" spans="1:1">
      <c r="A2194" s="90"/>
    </row>
    <row r="2195" spans="1:1">
      <c r="A2195" s="90"/>
    </row>
    <row r="2196" spans="1:1">
      <c r="A2196" s="90"/>
    </row>
    <row r="2197" spans="1:1">
      <c r="A2197" s="90"/>
    </row>
    <row r="2198" spans="1:1">
      <c r="A2198" s="90"/>
    </row>
    <row r="2199" spans="1:1">
      <c r="A2199" s="90"/>
    </row>
    <row r="2200" spans="1:1">
      <c r="A2200" s="90"/>
    </row>
    <row r="2201" spans="1:1">
      <c r="A2201" s="90"/>
    </row>
    <row r="2202" spans="1:1">
      <c r="A2202" s="90"/>
    </row>
    <row r="2203" spans="1:1">
      <c r="A2203" s="90"/>
    </row>
    <row r="2204" spans="1:1">
      <c r="A2204" s="90"/>
    </row>
    <row r="2205" spans="1:1">
      <c r="A2205" s="90"/>
    </row>
    <row r="2206" spans="1:1">
      <c r="A2206" s="90"/>
    </row>
    <row r="2207" spans="1:1">
      <c r="A2207" s="90"/>
    </row>
    <row r="2208" spans="1:1">
      <c r="A2208" s="90"/>
    </row>
    <row r="2209" spans="1:1">
      <c r="A2209" s="90"/>
    </row>
    <row r="2210" spans="1:1">
      <c r="A2210" s="90"/>
    </row>
    <row r="2211" spans="1:1">
      <c r="A2211" s="90"/>
    </row>
    <row r="2212" spans="1:1">
      <c r="A2212" s="90"/>
    </row>
    <row r="2213" spans="1:1">
      <c r="A2213" s="90"/>
    </row>
    <row r="2214" spans="1:1">
      <c r="A2214" s="90"/>
    </row>
    <row r="2215" spans="1:1">
      <c r="A2215" s="90"/>
    </row>
    <row r="2216" spans="1:1">
      <c r="A2216" s="90"/>
    </row>
    <row r="2217" spans="1:1">
      <c r="A2217" s="90"/>
    </row>
    <row r="2218" spans="1:1">
      <c r="A2218" s="90"/>
    </row>
    <row r="2219" spans="1:1">
      <c r="A2219" s="90"/>
    </row>
    <row r="2220" spans="1:1">
      <c r="A2220" s="90"/>
    </row>
    <row r="2221" spans="1:1">
      <c r="A2221" s="90"/>
    </row>
    <row r="2222" spans="1:1">
      <c r="A2222" s="90"/>
    </row>
    <row r="2223" spans="1:1">
      <c r="A2223" s="90"/>
    </row>
    <row r="2224" spans="1:1">
      <c r="A2224" s="90"/>
    </row>
    <row r="2225" spans="1:1">
      <c r="A2225" s="90"/>
    </row>
    <row r="2226" spans="1:1">
      <c r="A2226" s="90"/>
    </row>
    <row r="2227" spans="1:1">
      <c r="A2227" s="90"/>
    </row>
    <row r="2228" spans="1:1">
      <c r="A2228" s="90"/>
    </row>
    <row r="2229" spans="1:1">
      <c r="A2229" s="90"/>
    </row>
    <row r="2230" spans="1:1">
      <c r="A2230" s="90"/>
    </row>
    <row r="2231" spans="1:1">
      <c r="A2231" s="90"/>
    </row>
    <row r="2232" spans="1:1">
      <c r="A2232" s="90"/>
    </row>
    <row r="2233" spans="1:1">
      <c r="A2233" s="90"/>
    </row>
    <row r="2234" spans="1:1">
      <c r="A2234" s="90"/>
    </row>
    <row r="2235" spans="1:1">
      <c r="A2235" s="90"/>
    </row>
    <row r="2236" spans="1:1">
      <c r="A2236" s="90"/>
    </row>
    <row r="2237" spans="1:1">
      <c r="A2237" s="90"/>
    </row>
    <row r="2238" spans="1:1">
      <c r="A2238" s="90"/>
    </row>
    <row r="2239" spans="1:1">
      <c r="A2239" s="90"/>
    </row>
    <row r="2240" spans="1:1">
      <c r="A2240" s="90"/>
    </row>
    <row r="2241" spans="1:1">
      <c r="A2241" s="90"/>
    </row>
    <row r="2242" spans="1:1">
      <c r="A2242" s="90"/>
    </row>
    <row r="2243" spans="1:1">
      <c r="A2243" s="90"/>
    </row>
    <row r="2244" spans="1:1">
      <c r="A2244" s="90"/>
    </row>
    <row r="2245" spans="1:1">
      <c r="A2245" s="90"/>
    </row>
    <row r="2246" spans="1:1">
      <c r="A2246" s="90"/>
    </row>
    <row r="2247" spans="1:1">
      <c r="A2247" s="90"/>
    </row>
    <row r="2248" spans="1:1">
      <c r="A2248" s="90"/>
    </row>
    <row r="2249" spans="1:1">
      <c r="A2249" s="90"/>
    </row>
    <row r="2250" spans="1:1">
      <c r="A2250" s="90"/>
    </row>
    <row r="2251" spans="1:1">
      <c r="A2251" s="90"/>
    </row>
    <row r="2252" spans="1:1">
      <c r="A2252" s="90"/>
    </row>
    <row r="2253" spans="1:1">
      <c r="A2253" s="90"/>
    </row>
    <row r="2254" spans="1:1">
      <c r="A2254" s="90"/>
    </row>
    <row r="2255" spans="1:1">
      <c r="A2255" s="90"/>
    </row>
    <row r="2256" spans="1:1">
      <c r="A2256" s="90"/>
    </row>
    <row r="2257" spans="1:1">
      <c r="A2257" s="90"/>
    </row>
    <row r="2258" spans="1:1">
      <c r="A2258" s="90"/>
    </row>
    <row r="2259" spans="1:1">
      <c r="A2259" s="90"/>
    </row>
    <row r="2260" spans="1:1">
      <c r="A2260" s="90"/>
    </row>
    <row r="2261" spans="1:1">
      <c r="A2261" s="90"/>
    </row>
    <row r="2262" spans="1:1">
      <c r="A2262" s="90"/>
    </row>
    <row r="2263" spans="1:1">
      <c r="A2263" s="90"/>
    </row>
    <row r="2264" spans="1:1">
      <c r="A2264" s="90"/>
    </row>
    <row r="2265" spans="1:1">
      <c r="A2265" s="90"/>
    </row>
    <row r="2266" spans="1:1">
      <c r="A2266" s="90"/>
    </row>
    <row r="2267" spans="1:1">
      <c r="A2267" s="90"/>
    </row>
    <row r="2268" spans="1:1">
      <c r="A2268" s="90"/>
    </row>
    <row r="2269" spans="1:1">
      <c r="A2269" s="90"/>
    </row>
    <row r="2270" spans="1:1">
      <c r="A2270" s="90"/>
    </row>
    <row r="2271" spans="1:1">
      <c r="A2271" s="90"/>
    </row>
    <row r="2272" spans="1:1">
      <c r="A2272" s="90"/>
    </row>
    <row r="2273" spans="1:1">
      <c r="A2273" s="90"/>
    </row>
    <row r="2274" spans="1:1">
      <c r="A2274" s="90"/>
    </row>
    <row r="2275" spans="1:1">
      <c r="A2275" s="90"/>
    </row>
    <row r="2276" spans="1:1">
      <c r="A2276" s="90"/>
    </row>
    <row r="2277" spans="1:1">
      <c r="A2277" s="90"/>
    </row>
    <row r="2278" spans="1:1">
      <c r="A2278" s="90"/>
    </row>
    <row r="2279" spans="1:1">
      <c r="A2279" s="90"/>
    </row>
    <row r="2280" spans="1:1">
      <c r="A2280" s="90"/>
    </row>
    <row r="2281" spans="1:1">
      <c r="A2281" s="90"/>
    </row>
    <row r="2282" spans="1:1">
      <c r="A2282" s="90"/>
    </row>
    <row r="2283" spans="1:1">
      <c r="A2283" s="90"/>
    </row>
    <row r="2284" spans="1:1">
      <c r="A2284" s="90"/>
    </row>
    <row r="2285" spans="1:1">
      <c r="A2285" s="90"/>
    </row>
    <row r="2286" spans="1:1">
      <c r="A2286" s="90"/>
    </row>
    <row r="2287" spans="1:1">
      <c r="A2287" s="90"/>
    </row>
    <row r="2288" spans="1:1">
      <c r="A2288" s="90"/>
    </row>
    <row r="2289" spans="1:1">
      <c r="A2289" s="90"/>
    </row>
    <row r="2290" spans="1:1">
      <c r="A2290" s="90"/>
    </row>
    <row r="2291" spans="1:1">
      <c r="A2291" s="90"/>
    </row>
    <row r="2292" spans="1:1">
      <c r="A2292" s="90"/>
    </row>
    <row r="2293" spans="1:1">
      <c r="A2293" s="90"/>
    </row>
    <row r="2294" spans="1:1">
      <c r="A2294" s="90"/>
    </row>
    <row r="2295" spans="1:1">
      <c r="A2295" s="90"/>
    </row>
    <row r="2296" spans="1:1">
      <c r="A2296" s="90"/>
    </row>
    <row r="2297" spans="1:1">
      <c r="A2297" s="90"/>
    </row>
    <row r="2298" spans="1:1">
      <c r="A2298" s="90"/>
    </row>
    <row r="2299" spans="1:1">
      <c r="A2299" s="90"/>
    </row>
    <row r="2300" spans="1:1">
      <c r="A2300" s="90"/>
    </row>
    <row r="2301" spans="1:1">
      <c r="A2301" s="90"/>
    </row>
    <row r="2302" spans="1:1">
      <c r="A2302" s="90"/>
    </row>
    <row r="2303" spans="1:1">
      <c r="A2303" s="90"/>
    </row>
    <row r="2304" spans="1:1">
      <c r="A2304" s="90"/>
    </row>
    <row r="2305" spans="1:1">
      <c r="A2305" s="90"/>
    </row>
    <row r="2306" spans="1:1">
      <c r="A2306" s="90"/>
    </row>
    <row r="2307" spans="1:1">
      <c r="A2307" s="90"/>
    </row>
    <row r="2308" spans="1:1">
      <c r="A2308" s="90"/>
    </row>
    <row r="2309" spans="1:1">
      <c r="A2309" s="90"/>
    </row>
    <row r="2310" spans="1:1">
      <c r="A2310" s="90"/>
    </row>
    <row r="2311" spans="1:1">
      <c r="A2311" s="90"/>
    </row>
    <row r="2312" spans="1:1">
      <c r="A2312" s="90"/>
    </row>
    <row r="2313" spans="1:1">
      <c r="A2313" s="90"/>
    </row>
    <row r="2314" spans="1:1">
      <c r="A2314" s="90"/>
    </row>
    <row r="2315" spans="1:1">
      <c r="A2315" s="90"/>
    </row>
    <row r="2316" spans="1:1">
      <c r="A2316" s="90"/>
    </row>
    <row r="2317" spans="1:1">
      <c r="A2317" s="90"/>
    </row>
    <row r="2318" spans="1:1">
      <c r="A2318" s="90"/>
    </row>
    <row r="2319" spans="1:1">
      <c r="A2319" s="90"/>
    </row>
    <row r="2320" spans="1:1">
      <c r="A2320" s="90"/>
    </row>
    <row r="2321" spans="1:1">
      <c r="A2321" s="90"/>
    </row>
    <row r="2322" spans="1:1">
      <c r="A2322" s="90"/>
    </row>
    <row r="2323" spans="1:1">
      <c r="A2323" s="90"/>
    </row>
    <row r="2324" spans="1:1">
      <c r="A2324" s="90"/>
    </row>
    <row r="2325" spans="1:1">
      <c r="A2325" s="90"/>
    </row>
    <row r="2326" spans="1:1">
      <c r="A2326" s="90"/>
    </row>
    <row r="2327" spans="1:1">
      <c r="A2327" s="90"/>
    </row>
    <row r="2328" spans="1:1">
      <c r="A2328" s="90"/>
    </row>
    <row r="2329" spans="1:1">
      <c r="A2329" s="90"/>
    </row>
    <row r="2330" spans="1:1">
      <c r="A2330" s="90"/>
    </row>
    <row r="2331" spans="1:1">
      <c r="A2331" s="90"/>
    </row>
    <row r="2332" spans="1:1">
      <c r="A2332" s="90"/>
    </row>
    <row r="2333" spans="1:1">
      <c r="A2333" s="90"/>
    </row>
    <row r="2334" spans="1:1">
      <c r="A2334" s="90"/>
    </row>
    <row r="2335" spans="1:1">
      <c r="A2335" s="90"/>
    </row>
    <row r="2336" spans="1:1">
      <c r="A2336" s="90"/>
    </row>
    <row r="2337" spans="1:1">
      <c r="A2337" s="90"/>
    </row>
    <row r="2338" spans="1:1">
      <c r="A2338" s="90"/>
    </row>
    <row r="2339" spans="1:1">
      <c r="A2339" s="90"/>
    </row>
    <row r="2340" spans="1:1">
      <c r="A2340" s="90"/>
    </row>
    <row r="2341" spans="1:1">
      <c r="A2341" s="90"/>
    </row>
    <row r="2342" spans="1:1">
      <c r="A2342" s="90"/>
    </row>
    <row r="2343" spans="1:1">
      <c r="A2343" s="90"/>
    </row>
    <row r="2344" spans="1:1">
      <c r="A2344" s="90"/>
    </row>
    <row r="2345" spans="1:1">
      <c r="A2345" s="90"/>
    </row>
    <row r="2346" spans="1:1">
      <c r="A2346" s="90"/>
    </row>
    <row r="2347" spans="1:1">
      <c r="A2347" s="90"/>
    </row>
    <row r="2348" spans="1:1">
      <c r="A2348" s="90"/>
    </row>
    <row r="2349" spans="1:1">
      <c r="A2349" s="90"/>
    </row>
    <row r="2350" spans="1:1">
      <c r="A2350" s="90"/>
    </row>
    <row r="2351" spans="1:1">
      <c r="A2351" s="90"/>
    </row>
    <row r="2352" spans="1:1">
      <c r="A2352" s="90"/>
    </row>
    <row r="2353" spans="1:1">
      <c r="A2353" s="90"/>
    </row>
    <row r="2354" spans="1:1">
      <c r="A2354" s="90"/>
    </row>
    <row r="2355" spans="1:1">
      <c r="A2355" s="90"/>
    </row>
    <row r="2356" spans="1:1">
      <c r="A2356" s="90"/>
    </row>
    <row r="2357" spans="1:1">
      <c r="A2357" s="90"/>
    </row>
    <row r="2358" spans="1:1">
      <c r="A2358" s="90"/>
    </row>
    <row r="2359" spans="1:1">
      <c r="A2359" s="90"/>
    </row>
    <row r="2360" spans="1:1">
      <c r="A2360" s="90"/>
    </row>
    <row r="2361" spans="1:1">
      <c r="A2361" s="90"/>
    </row>
    <row r="2362" spans="1:1">
      <c r="A2362" s="90"/>
    </row>
    <row r="2363" spans="1:1">
      <c r="A2363" s="90"/>
    </row>
    <row r="2364" spans="1:1">
      <c r="A2364" s="90"/>
    </row>
    <row r="2365" spans="1:1">
      <c r="A2365" s="90"/>
    </row>
    <row r="2366" spans="1:1">
      <c r="A2366" s="90"/>
    </row>
    <row r="2367" spans="1:1">
      <c r="A2367" s="90"/>
    </row>
    <row r="2368" spans="1:1">
      <c r="A2368" s="90"/>
    </row>
    <row r="2369" spans="1:1">
      <c r="A2369" s="90"/>
    </row>
    <row r="2370" spans="1:1">
      <c r="A2370" s="90"/>
    </row>
    <row r="2371" spans="1:1">
      <c r="A2371" s="90"/>
    </row>
    <row r="2372" spans="1:1">
      <c r="A2372" s="90"/>
    </row>
    <row r="2373" spans="1:1">
      <c r="A2373" s="90"/>
    </row>
    <row r="2374" spans="1:1">
      <c r="A2374" s="90"/>
    </row>
    <row r="2375" spans="1:1">
      <c r="A2375" s="90"/>
    </row>
    <row r="2376" spans="1:1">
      <c r="A2376" s="90"/>
    </row>
    <row r="2377" spans="1:1">
      <c r="A2377" s="90"/>
    </row>
    <row r="2378" spans="1:1">
      <c r="A2378" s="90"/>
    </row>
    <row r="2379" spans="1:1">
      <c r="A2379" s="90"/>
    </row>
    <row r="2380" spans="1:1">
      <c r="A2380" s="90"/>
    </row>
    <row r="2381" spans="1:1">
      <c r="A2381" s="90"/>
    </row>
    <row r="2382" spans="1:1">
      <c r="A2382" s="90"/>
    </row>
    <row r="2383" spans="1:1">
      <c r="A2383" s="90"/>
    </row>
    <row r="2384" spans="1:1">
      <c r="A2384" s="90"/>
    </row>
    <row r="2385" spans="1:1">
      <c r="A2385" s="90"/>
    </row>
    <row r="2386" spans="1:1">
      <c r="A2386" s="90"/>
    </row>
    <row r="2387" spans="1:1">
      <c r="A2387" s="90"/>
    </row>
    <row r="2388" spans="1:1">
      <c r="A2388" s="90"/>
    </row>
    <row r="2389" spans="1:1">
      <c r="A2389" s="90"/>
    </row>
    <row r="2390" spans="1:1">
      <c r="A2390" s="90"/>
    </row>
    <row r="2391" spans="1:1">
      <c r="A2391" s="90"/>
    </row>
    <row r="2392" spans="1:1">
      <c r="A2392" s="90"/>
    </row>
    <row r="2393" spans="1:1">
      <c r="A2393" s="90"/>
    </row>
    <row r="2394" spans="1:1">
      <c r="A2394" s="90"/>
    </row>
    <row r="2395" spans="1:1">
      <c r="A2395" s="90"/>
    </row>
    <row r="2396" spans="1:1">
      <c r="A2396" s="90"/>
    </row>
    <row r="2397" spans="1:1">
      <c r="A2397" s="90"/>
    </row>
    <row r="2398" spans="1:1">
      <c r="A2398" s="90"/>
    </row>
    <row r="2399" spans="1:1">
      <c r="A2399" s="90"/>
    </row>
    <row r="2400" spans="1:1">
      <c r="A2400" s="90"/>
    </row>
    <row r="2401" spans="1:1">
      <c r="A2401" s="90"/>
    </row>
    <row r="2402" spans="1:1">
      <c r="A2402" s="90"/>
    </row>
    <row r="2403" spans="1:1">
      <c r="A2403" s="90"/>
    </row>
    <row r="2404" spans="1:1">
      <c r="A2404" s="90"/>
    </row>
    <row r="2405" spans="1:1">
      <c r="A2405" s="90"/>
    </row>
    <row r="2406" spans="1:1">
      <c r="A2406" s="90"/>
    </row>
    <row r="2407" spans="1:1">
      <c r="A2407" s="90"/>
    </row>
    <row r="2408" spans="1:1">
      <c r="A2408" s="90"/>
    </row>
    <row r="2409" spans="1:1">
      <c r="A2409" s="90"/>
    </row>
    <row r="2410" spans="1:1">
      <c r="A2410" s="90"/>
    </row>
    <row r="2411" spans="1:1">
      <c r="A2411" s="90"/>
    </row>
    <row r="2412" spans="1:1">
      <c r="A2412" s="90"/>
    </row>
    <row r="2413" spans="1:1">
      <c r="A2413" s="90"/>
    </row>
    <row r="2414" spans="1:1">
      <c r="A2414" s="90"/>
    </row>
    <row r="2415" spans="1:1">
      <c r="A2415" s="90"/>
    </row>
    <row r="2416" spans="1:1">
      <c r="A2416" s="90"/>
    </row>
    <row r="2417" spans="1:1">
      <c r="A2417" s="90"/>
    </row>
    <row r="2418" spans="1:1">
      <c r="A2418" s="90"/>
    </row>
    <row r="2419" spans="1:1">
      <c r="A2419" s="90"/>
    </row>
    <row r="2420" spans="1:1">
      <c r="A2420" s="90"/>
    </row>
    <row r="2421" spans="1:1">
      <c r="A2421" s="90"/>
    </row>
    <row r="2422" spans="1:1">
      <c r="A2422" s="90"/>
    </row>
    <row r="2423" spans="1:1">
      <c r="A2423" s="90"/>
    </row>
    <row r="2424" spans="1:1">
      <c r="A2424" s="90"/>
    </row>
    <row r="2425" spans="1:1">
      <c r="A2425" s="90"/>
    </row>
    <row r="2426" spans="1:1">
      <c r="A2426" s="90"/>
    </row>
    <row r="2427" spans="1:1">
      <c r="A2427" s="90"/>
    </row>
    <row r="2428" spans="1:1">
      <c r="A2428" s="90"/>
    </row>
    <row r="2429" spans="1:1">
      <c r="A2429" s="90"/>
    </row>
    <row r="2430" spans="1:1">
      <c r="A2430" s="90"/>
    </row>
    <row r="2431" spans="1:1">
      <c r="A2431" s="90"/>
    </row>
    <row r="2432" spans="1:1">
      <c r="A2432" s="90"/>
    </row>
    <row r="2433" spans="1:1">
      <c r="A2433" s="90"/>
    </row>
    <row r="2434" spans="1:1">
      <c r="A2434" s="90"/>
    </row>
    <row r="2435" spans="1:1">
      <c r="A2435" s="90"/>
    </row>
    <row r="2436" spans="1:1">
      <c r="A2436" s="90"/>
    </row>
    <row r="2437" spans="1:1">
      <c r="A2437" s="90"/>
    </row>
    <row r="2438" spans="1:1">
      <c r="A2438" s="90"/>
    </row>
    <row r="2439" spans="1:1">
      <c r="A2439" s="90"/>
    </row>
    <row r="2440" spans="1:1">
      <c r="A2440" s="90"/>
    </row>
    <row r="2441" spans="1:1">
      <c r="A2441" s="90"/>
    </row>
    <row r="2442" spans="1:1">
      <c r="A2442" s="90"/>
    </row>
    <row r="2443" spans="1:1">
      <c r="A2443" s="90"/>
    </row>
    <row r="2444" spans="1:1">
      <c r="A2444" s="90"/>
    </row>
    <row r="2445" spans="1:1">
      <c r="A2445" s="90"/>
    </row>
    <row r="2446" spans="1:1">
      <c r="A2446" s="90"/>
    </row>
    <row r="2447" spans="1:1">
      <c r="A2447" s="90"/>
    </row>
    <row r="2448" spans="1:1">
      <c r="A2448" s="90"/>
    </row>
    <row r="2449" spans="1:1">
      <c r="A2449" s="90"/>
    </row>
    <row r="2450" spans="1:1">
      <c r="A2450" s="90"/>
    </row>
    <row r="2451" spans="1:1">
      <c r="A2451" s="90"/>
    </row>
    <row r="2452" spans="1:1">
      <c r="A2452" s="90"/>
    </row>
    <row r="2453" spans="1:1">
      <c r="A2453" s="90"/>
    </row>
    <row r="2454" spans="1:1">
      <c r="A2454" s="90"/>
    </row>
    <row r="2455" spans="1:1">
      <c r="A2455" s="90"/>
    </row>
    <row r="2456" spans="1:1">
      <c r="A2456" s="90"/>
    </row>
    <row r="2457" spans="1:1">
      <c r="A2457" s="90"/>
    </row>
    <row r="2458" spans="1:1">
      <c r="A2458" s="90"/>
    </row>
    <row r="2459" spans="1:1">
      <c r="A2459" s="90"/>
    </row>
    <row r="2460" spans="1:1">
      <c r="A2460" s="90"/>
    </row>
    <row r="2461" spans="1:1">
      <c r="A2461" s="90"/>
    </row>
    <row r="2462" spans="1:1">
      <c r="A2462" s="90"/>
    </row>
    <row r="2463" spans="1:1">
      <c r="A2463" s="90"/>
    </row>
    <row r="2464" spans="1:1">
      <c r="A2464" s="90"/>
    </row>
    <row r="2465" spans="1:1">
      <c r="A2465" s="90"/>
    </row>
    <row r="2466" spans="1:1">
      <c r="A2466" s="90"/>
    </row>
    <row r="2467" spans="1:1">
      <c r="A2467" s="90"/>
    </row>
    <row r="2468" spans="1:1">
      <c r="A2468" s="90"/>
    </row>
    <row r="2469" spans="1:1">
      <c r="A2469" s="90"/>
    </row>
    <row r="2470" spans="1:1">
      <c r="A2470" s="90"/>
    </row>
    <row r="2471" spans="1:1">
      <c r="A2471" s="90"/>
    </row>
    <row r="2472" spans="1:1">
      <c r="A2472" s="90"/>
    </row>
    <row r="2473" spans="1:1">
      <c r="A2473" s="90"/>
    </row>
    <row r="2474" spans="1:1">
      <c r="A2474" s="90"/>
    </row>
    <row r="2475" spans="1:1">
      <c r="A2475" s="90"/>
    </row>
    <row r="2476" spans="1:1">
      <c r="A2476" s="90"/>
    </row>
    <row r="2477" spans="1:1">
      <c r="A2477" s="90"/>
    </row>
    <row r="2478" spans="1:1">
      <c r="A2478" s="90"/>
    </row>
    <row r="2479" spans="1:1">
      <c r="A2479" s="90"/>
    </row>
    <row r="2480" spans="1:1">
      <c r="A2480" s="90"/>
    </row>
    <row r="2481" spans="1:1">
      <c r="A2481" s="90"/>
    </row>
    <row r="2482" spans="1:1">
      <c r="A2482" s="90"/>
    </row>
    <row r="2483" spans="1:1">
      <c r="A2483" s="90"/>
    </row>
    <row r="2484" spans="1:1">
      <c r="A2484" s="90"/>
    </row>
    <row r="2485" spans="1:1">
      <c r="A2485" s="90"/>
    </row>
    <row r="2486" spans="1:1">
      <c r="A2486" s="90"/>
    </row>
    <row r="2487" spans="1:1">
      <c r="A2487" s="90"/>
    </row>
    <row r="2488" spans="1:1">
      <c r="A2488" s="90"/>
    </row>
    <row r="2489" spans="1:1">
      <c r="A2489" s="90"/>
    </row>
    <row r="2490" spans="1:1">
      <c r="A2490" s="90"/>
    </row>
    <row r="2491" spans="1:1">
      <c r="A2491" s="90"/>
    </row>
    <row r="2492" spans="1:1">
      <c r="A2492" s="90"/>
    </row>
    <row r="2493" spans="1:1">
      <c r="A2493" s="90"/>
    </row>
    <row r="2494" spans="1:1">
      <c r="A2494" s="90"/>
    </row>
    <row r="2495" spans="1:1">
      <c r="A2495" s="90"/>
    </row>
    <row r="2496" spans="1:1">
      <c r="A2496" s="90"/>
    </row>
    <row r="2497" spans="1:1">
      <c r="A2497" s="90"/>
    </row>
    <row r="2498" spans="1:1">
      <c r="A2498" s="90"/>
    </row>
    <row r="2499" spans="1:1">
      <c r="A2499" s="90"/>
    </row>
    <row r="2500" spans="1:1">
      <c r="A2500" s="90"/>
    </row>
    <row r="2501" spans="1:1">
      <c r="A2501" s="90"/>
    </row>
    <row r="2502" spans="1:1">
      <c r="A2502" s="90"/>
    </row>
    <row r="2503" spans="1:1">
      <c r="A2503" s="90"/>
    </row>
    <row r="2504" spans="1:1">
      <c r="A2504" s="90"/>
    </row>
    <row r="2505" spans="1:1">
      <c r="A2505" s="90"/>
    </row>
    <row r="2506" spans="1:1">
      <c r="A2506" s="90"/>
    </row>
    <row r="2507" spans="1:1">
      <c r="A2507" s="90"/>
    </row>
    <row r="2508" spans="1:1">
      <c r="A2508" s="90"/>
    </row>
    <row r="2509" spans="1:1">
      <c r="A2509" s="90"/>
    </row>
    <row r="2510" spans="1:1">
      <c r="A2510" s="90"/>
    </row>
    <row r="2511" spans="1:1">
      <c r="A2511" s="90"/>
    </row>
    <row r="2512" spans="1:1">
      <c r="A2512" s="90"/>
    </row>
    <row r="2513" spans="1:1">
      <c r="A2513" s="90"/>
    </row>
    <row r="2514" spans="1:1">
      <c r="A2514" s="90"/>
    </row>
    <row r="2515" spans="1:1">
      <c r="A2515" s="90"/>
    </row>
    <row r="2516" spans="1:1">
      <c r="A2516" s="90"/>
    </row>
    <row r="2517" spans="1:1">
      <c r="A2517" s="90"/>
    </row>
    <row r="2518" spans="1:1">
      <c r="A2518" s="90"/>
    </row>
    <row r="2519" spans="1:1">
      <c r="A2519" s="90"/>
    </row>
    <row r="2520" spans="1:1">
      <c r="A2520" s="90"/>
    </row>
    <row r="2521" spans="1:1">
      <c r="A2521" s="90"/>
    </row>
    <row r="2522" spans="1:1">
      <c r="A2522" s="90"/>
    </row>
    <row r="2523" spans="1:1">
      <c r="A2523" s="90"/>
    </row>
    <row r="2524" spans="1:1">
      <c r="A2524" s="90"/>
    </row>
    <row r="2525" spans="1:1">
      <c r="A2525" s="90"/>
    </row>
    <row r="2526" spans="1:1">
      <c r="A2526" s="90"/>
    </row>
    <row r="2527" spans="1:1">
      <c r="A2527" s="90"/>
    </row>
    <row r="2528" spans="1:1">
      <c r="A2528" s="90"/>
    </row>
    <row r="2529" spans="1:1">
      <c r="A2529" s="90"/>
    </row>
    <row r="2530" spans="1:1">
      <c r="A2530" s="90"/>
    </row>
    <row r="2531" spans="1:1">
      <c r="A2531" s="90"/>
    </row>
    <row r="2532" spans="1:1">
      <c r="A2532" s="90"/>
    </row>
    <row r="2533" spans="1:1">
      <c r="A2533" s="90"/>
    </row>
    <row r="2534" spans="1:1">
      <c r="A2534" s="90"/>
    </row>
    <row r="2535" spans="1:1">
      <c r="A2535" s="90"/>
    </row>
    <row r="2536" spans="1:1">
      <c r="A2536" s="90"/>
    </row>
    <row r="2537" spans="1:1">
      <c r="A2537" s="90"/>
    </row>
    <row r="2538" spans="1:1">
      <c r="A2538" s="90"/>
    </row>
    <row r="2539" spans="1:1">
      <c r="A2539" s="90"/>
    </row>
    <row r="2540" spans="1:1">
      <c r="A2540" s="90"/>
    </row>
    <row r="2541" spans="1:1">
      <c r="A2541" s="90"/>
    </row>
    <row r="2542" spans="1:1">
      <c r="A2542" s="90"/>
    </row>
    <row r="2543" spans="1:1">
      <c r="A2543" s="90"/>
    </row>
    <row r="2544" spans="1:1">
      <c r="A2544" s="90"/>
    </row>
    <row r="2545" spans="1:1">
      <c r="A2545" s="90"/>
    </row>
    <row r="2546" spans="1:1">
      <c r="A2546" s="90"/>
    </row>
    <row r="2547" spans="1:1">
      <c r="A2547" s="90"/>
    </row>
    <row r="2548" spans="1:1">
      <c r="A2548" s="90"/>
    </row>
    <row r="2549" spans="1:1">
      <c r="A2549" s="90"/>
    </row>
    <row r="2550" spans="1:1">
      <c r="A2550" s="90"/>
    </row>
    <row r="2551" spans="1:1">
      <c r="A2551" s="90"/>
    </row>
    <row r="2552" spans="1:1">
      <c r="A2552" s="90"/>
    </row>
    <row r="2553" spans="1:1">
      <c r="A2553" s="90"/>
    </row>
    <row r="2554" spans="1:1">
      <c r="A2554" s="90"/>
    </row>
    <row r="2555" spans="1:1">
      <c r="A2555" s="90"/>
    </row>
    <row r="2556" spans="1:1">
      <c r="A2556" s="90"/>
    </row>
    <row r="2557" spans="1:1">
      <c r="A2557" s="90"/>
    </row>
    <row r="2558" spans="1:1">
      <c r="A2558" s="90"/>
    </row>
    <row r="2559" spans="1:1">
      <c r="A2559" s="90"/>
    </row>
    <row r="2560" spans="1:1">
      <c r="A2560" s="90"/>
    </row>
    <row r="2561" spans="1:1">
      <c r="A2561" s="90"/>
    </row>
    <row r="2562" spans="1:1">
      <c r="A2562" s="90"/>
    </row>
    <row r="2563" spans="1:1">
      <c r="A2563" s="90"/>
    </row>
    <row r="2564" spans="1:1">
      <c r="A2564" s="90"/>
    </row>
    <row r="2565" spans="1:1">
      <c r="A2565" s="90"/>
    </row>
    <row r="2566" spans="1:1">
      <c r="A2566" s="90"/>
    </row>
    <row r="2567" spans="1:1">
      <c r="A2567" s="90"/>
    </row>
    <row r="2568" spans="1:1">
      <c r="A2568" s="90"/>
    </row>
    <row r="2569" spans="1:1">
      <c r="A2569" s="90"/>
    </row>
    <row r="2570" spans="1:1">
      <c r="A2570" s="90"/>
    </row>
    <row r="2571" spans="1:1">
      <c r="A2571" s="90"/>
    </row>
    <row r="2572" spans="1:1">
      <c r="A2572" s="90"/>
    </row>
    <row r="2573" spans="1:1">
      <c r="A2573" s="90"/>
    </row>
    <row r="2574" spans="1:1">
      <c r="A2574" s="90"/>
    </row>
    <row r="2575" spans="1:1">
      <c r="A2575" s="90"/>
    </row>
    <row r="2576" spans="1:1">
      <c r="A2576" s="90"/>
    </row>
    <row r="2577" spans="1:1">
      <c r="A2577" s="90"/>
    </row>
    <row r="2578" spans="1:1">
      <c r="A2578" s="90"/>
    </row>
    <row r="2579" spans="1:1">
      <c r="A2579" s="90"/>
    </row>
    <row r="2580" spans="1:1">
      <c r="A2580" s="90"/>
    </row>
    <row r="2581" spans="1:1">
      <c r="A2581" s="90"/>
    </row>
    <row r="2582" spans="1:1">
      <c r="A2582" s="90"/>
    </row>
    <row r="2583" spans="1:1">
      <c r="A2583" s="90"/>
    </row>
    <row r="2584" spans="1:1">
      <c r="A2584" s="90"/>
    </row>
    <row r="2585" spans="1:1">
      <c r="A2585" s="90"/>
    </row>
    <row r="2586" spans="1:1">
      <c r="A2586" s="90"/>
    </row>
    <row r="2587" spans="1:1">
      <c r="A2587" s="90"/>
    </row>
    <row r="2588" spans="1:1">
      <c r="A2588" s="90"/>
    </row>
    <row r="2589" spans="1:1">
      <c r="A2589" s="90"/>
    </row>
    <row r="2590" spans="1:1">
      <c r="A2590" s="90"/>
    </row>
    <row r="2591" spans="1:1">
      <c r="A2591" s="90"/>
    </row>
    <row r="2592" spans="1:1">
      <c r="A2592" s="90"/>
    </row>
    <row r="2593" spans="1:1">
      <c r="A2593" s="90"/>
    </row>
    <row r="2594" spans="1:1">
      <c r="A2594" s="90"/>
    </row>
    <row r="2595" spans="1:1">
      <c r="A2595" s="90"/>
    </row>
    <row r="2596" spans="1:1">
      <c r="A2596" s="90"/>
    </row>
    <row r="2597" spans="1:1">
      <c r="A2597" s="90"/>
    </row>
    <row r="2598" spans="1:1">
      <c r="A2598" s="90"/>
    </row>
    <row r="2599" spans="1:1">
      <c r="A2599" s="90"/>
    </row>
    <row r="2600" spans="1:1">
      <c r="A2600" s="90"/>
    </row>
    <row r="2601" spans="1:1">
      <c r="A2601" s="90"/>
    </row>
    <row r="2602" spans="1:1">
      <c r="A2602" s="90"/>
    </row>
    <row r="2603" spans="1:1">
      <c r="A2603" s="90"/>
    </row>
    <row r="2604" spans="1:1">
      <c r="A2604" s="90"/>
    </row>
    <row r="2605" spans="1:1">
      <c r="A2605" s="90"/>
    </row>
    <row r="2606" spans="1:1">
      <c r="A2606" s="90"/>
    </row>
    <row r="2607" spans="1:1">
      <c r="A2607" s="90"/>
    </row>
    <row r="2608" spans="1:1">
      <c r="A2608" s="90"/>
    </row>
    <row r="2609" spans="1:1">
      <c r="A2609" s="90"/>
    </row>
    <row r="2610" spans="1:1">
      <c r="A2610" s="90"/>
    </row>
    <row r="2611" spans="1:1">
      <c r="A2611" s="90"/>
    </row>
    <row r="2612" spans="1:1">
      <c r="A2612" s="90"/>
    </row>
    <row r="2613" spans="1:1">
      <c r="A2613" s="90"/>
    </row>
    <row r="2614" spans="1:1">
      <c r="A2614" s="90"/>
    </row>
    <row r="2615" spans="1:1">
      <c r="A2615" s="90"/>
    </row>
    <row r="2616" spans="1:1">
      <c r="A2616" s="90"/>
    </row>
    <row r="2617" spans="1:1">
      <c r="A2617" s="90"/>
    </row>
    <row r="2618" spans="1:1">
      <c r="A2618" s="90"/>
    </row>
    <row r="2619" spans="1:1">
      <c r="A2619" s="90"/>
    </row>
    <row r="2620" spans="1:1">
      <c r="A2620" s="90"/>
    </row>
    <row r="2621" spans="1:1">
      <c r="A2621" s="90"/>
    </row>
    <row r="2622" spans="1:1">
      <c r="A2622" s="90"/>
    </row>
    <row r="2623" spans="1:1">
      <c r="A2623" s="90"/>
    </row>
    <row r="2624" spans="1:1">
      <c r="A2624" s="90"/>
    </row>
    <row r="2625" spans="1:1">
      <c r="A2625" s="90"/>
    </row>
    <row r="2626" spans="1:1">
      <c r="A2626" s="90"/>
    </row>
    <row r="2627" spans="1:1">
      <c r="A2627" s="90"/>
    </row>
    <row r="2628" spans="1:1">
      <c r="A2628" s="90"/>
    </row>
    <row r="2629" spans="1:1">
      <c r="A2629" s="90"/>
    </row>
    <row r="2630" spans="1:1">
      <c r="A2630" s="90"/>
    </row>
    <row r="2631" spans="1:1">
      <c r="A2631" s="90"/>
    </row>
    <row r="2632" spans="1:1">
      <c r="A2632" s="90"/>
    </row>
    <row r="2633" spans="1:1">
      <c r="A2633" s="90"/>
    </row>
    <row r="2634" spans="1:1">
      <c r="A2634" s="90"/>
    </row>
    <row r="2635" spans="1:1">
      <c r="A2635" s="90"/>
    </row>
    <row r="2636" spans="1:1">
      <c r="A2636" s="90"/>
    </row>
    <row r="2637" spans="1:1">
      <c r="A2637" s="90"/>
    </row>
    <row r="2638" spans="1:1">
      <c r="A2638" s="90"/>
    </row>
    <row r="2639" spans="1:1">
      <c r="A2639" s="90"/>
    </row>
    <row r="2640" spans="1:1">
      <c r="A2640" s="90"/>
    </row>
    <row r="2641" spans="1:1">
      <c r="A2641" s="90"/>
    </row>
    <row r="2642" spans="1:1">
      <c r="A2642" s="90"/>
    </row>
    <row r="2643" spans="1:1">
      <c r="A2643" s="90"/>
    </row>
    <row r="2644" spans="1:1">
      <c r="A2644" s="90"/>
    </row>
    <row r="2645" spans="1:1">
      <c r="A2645" s="90"/>
    </row>
    <row r="2646" spans="1:1">
      <c r="A2646" s="90"/>
    </row>
    <row r="2647" spans="1:1">
      <c r="A2647" s="90"/>
    </row>
    <row r="2648" spans="1:1">
      <c r="A2648" s="90"/>
    </row>
    <row r="2649" spans="1:1">
      <c r="A2649" s="90"/>
    </row>
    <row r="2650" spans="1:1">
      <c r="A2650" s="90"/>
    </row>
    <row r="2651" spans="1:1">
      <c r="A2651" s="90"/>
    </row>
    <row r="2652" spans="1:1">
      <c r="A2652" s="90"/>
    </row>
    <row r="2653" spans="1:1">
      <c r="A2653" s="90"/>
    </row>
    <row r="2654" spans="1:1">
      <c r="A2654" s="90"/>
    </row>
    <row r="2655" spans="1:1">
      <c r="A2655" s="90"/>
    </row>
    <row r="2656" spans="1:1">
      <c r="A2656" s="90"/>
    </row>
    <row r="2657" spans="1:1">
      <c r="A2657" s="90"/>
    </row>
    <row r="2658" spans="1:1">
      <c r="A2658" s="90"/>
    </row>
    <row r="2659" spans="1:1">
      <c r="A2659" s="90"/>
    </row>
    <row r="2660" spans="1:1">
      <c r="A2660" s="90"/>
    </row>
    <row r="2661" spans="1:1">
      <c r="A2661" s="90"/>
    </row>
    <row r="2662" spans="1:1">
      <c r="A2662" s="90"/>
    </row>
    <row r="2663" spans="1:1">
      <c r="A2663" s="90"/>
    </row>
    <row r="2664" spans="1:1">
      <c r="A2664" s="90"/>
    </row>
    <row r="2665" spans="1:1">
      <c r="A2665" s="90"/>
    </row>
    <row r="2666" spans="1:1">
      <c r="A2666" s="90"/>
    </row>
    <row r="2667" spans="1:1">
      <c r="A2667" s="90"/>
    </row>
    <row r="2668" spans="1:1">
      <c r="A2668" s="90"/>
    </row>
    <row r="2669" spans="1:1">
      <c r="A2669" s="90"/>
    </row>
    <row r="2670" spans="1:1">
      <c r="A2670" s="90"/>
    </row>
    <row r="2671" spans="1:1">
      <c r="A2671" s="90"/>
    </row>
    <row r="2672" spans="1:1">
      <c r="A2672" s="90"/>
    </row>
    <row r="2673" spans="1:1">
      <c r="A2673" s="90"/>
    </row>
    <row r="2674" spans="1:1">
      <c r="A2674" s="90"/>
    </row>
    <row r="2675" spans="1:1">
      <c r="A2675" s="90"/>
    </row>
    <row r="2676" spans="1:1">
      <c r="A2676" s="90"/>
    </row>
    <row r="2677" spans="1:1">
      <c r="A2677" s="90"/>
    </row>
    <row r="2678" spans="1:1">
      <c r="A2678" s="90"/>
    </row>
    <row r="2679" spans="1:1">
      <c r="A2679" s="90"/>
    </row>
    <row r="2680" spans="1:1">
      <c r="A2680" s="90"/>
    </row>
    <row r="2681" spans="1:1">
      <c r="A2681" s="90"/>
    </row>
    <row r="2682" spans="1:1">
      <c r="A2682" s="90"/>
    </row>
    <row r="2683" spans="1:1">
      <c r="A2683" s="90"/>
    </row>
    <row r="2684" spans="1:1">
      <c r="A2684" s="90"/>
    </row>
    <row r="2685" spans="1:1">
      <c r="A2685" s="90"/>
    </row>
    <row r="2686" spans="1:1">
      <c r="A2686" s="90"/>
    </row>
    <row r="2687" spans="1:1">
      <c r="A2687" s="90"/>
    </row>
    <row r="2688" spans="1:1">
      <c r="A2688" s="90"/>
    </row>
    <row r="2689" spans="1:1">
      <c r="A2689" s="90"/>
    </row>
    <row r="2690" spans="1:1">
      <c r="A2690" s="90"/>
    </row>
    <row r="2691" spans="1:1">
      <c r="A2691" s="90"/>
    </row>
    <row r="2692" spans="1:1">
      <c r="A2692" s="90"/>
    </row>
    <row r="2693" spans="1:1">
      <c r="A2693" s="90"/>
    </row>
    <row r="2694" spans="1:1">
      <c r="A2694" s="90"/>
    </row>
    <row r="2695" spans="1:1">
      <c r="A2695" s="90"/>
    </row>
    <row r="2696" spans="1:1">
      <c r="A2696" s="90"/>
    </row>
    <row r="2697" spans="1:1">
      <c r="A2697" s="90"/>
    </row>
    <row r="2698" spans="1:1">
      <c r="A2698" s="90"/>
    </row>
    <row r="2699" spans="1:1">
      <c r="A2699" s="90"/>
    </row>
    <row r="2700" spans="1:1">
      <c r="A2700" s="90"/>
    </row>
    <row r="2701" spans="1:1">
      <c r="A2701" s="90"/>
    </row>
    <row r="2702" spans="1:1">
      <c r="A2702" s="90"/>
    </row>
    <row r="2703" spans="1:1">
      <c r="A2703" s="90"/>
    </row>
    <row r="2704" spans="1:1">
      <c r="A2704" s="90"/>
    </row>
    <row r="2705" spans="1:1">
      <c r="A2705" s="90"/>
    </row>
    <row r="2706" spans="1:1">
      <c r="A2706" s="90"/>
    </row>
    <row r="2707" spans="1:1">
      <c r="A2707" s="90"/>
    </row>
    <row r="2708" spans="1:1">
      <c r="A2708" s="90"/>
    </row>
    <row r="2709" spans="1:1">
      <c r="A2709" s="90"/>
    </row>
    <row r="2710" spans="1:1">
      <c r="A2710" s="90"/>
    </row>
    <row r="2711" spans="1:1">
      <c r="A2711" s="90"/>
    </row>
    <row r="2712" spans="1:1">
      <c r="A2712" s="90"/>
    </row>
    <row r="2713" spans="1:1">
      <c r="A2713" s="90"/>
    </row>
    <row r="2714" spans="1:1">
      <c r="A2714" s="90"/>
    </row>
    <row r="2715" spans="1:1">
      <c r="A2715" s="90"/>
    </row>
    <row r="2716" spans="1:1">
      <c r="A2716" s="90"/>
    </row>
    <row r="2717" spans="1:1">
      <c r="A2717" s="90"/>
    </row>
    <row r="2718" spans="1:1">
      <c r="A2718" s="90"/>
    </row>
    <row r="2719" spans="1:1">
      <c r="A2719" s="90"/>
    </row>
    <row r="2720" spans="1:1">
      <c r="A2720" s="90"/>
    </row>
    <row r="2721" spans="1:1">
      <c r="A2721" s="90"/>
    </row>
    <row r="2722" spans="1:1">
      <c r="A2722" s="90"/>
    </row>
    <row r="2723" spans="1:1">
      <c r="A2723" s="90"/>
    </row>
    <row r="2724" spans="1:1">
      <c r="A2724" s="90"/>
    </row>
    <row r="2725" spans="1:1">
      <c r="A2725" s="90"/>
    </row>
    <row r="2726" spans="1:1">
      <c r="A2726" s="90"/>
    </row>
    <row r="2727" spans="1:1">
      <c r="A2727" s="90"/>
    </row>
    <row r="2728" spans="1:1">
      <c r="A2728" s="90"/>
    </row>
    <row r="2729" spans="1:1">
      <c r="A2729" s="90"/>
    </row>
    <row r="2730" spans="1:1">
      <c r="A2730" s="90"/>
    </row>
    <row r="2731" spans="1:1">
      <c r="A2731" s="90"/>
    </row>
    <row r="2732" spans="1:1">
      <c r="A2732" s="90"/>
    </row>
    <row r="2733" spans="1:1">
      <c r="A2733" s="90"/>
    </row>
    <row r="2734" spans="1:1">
      <c r="A2734" s="90"/>
    </row>
    <row r="2735" spans="1:1">
      <c r="A2735" s="90"/>
    </row>
    <row r="2736" spans="1:1">
      <c r="A2736" s="90"/>
    </row>
    <row r="2737" spans="1:1">
      <c r="A2737" s="90"/>
    </row>
    <row r="2738" spans="1:1">
      <c r="A2738" s="90"/>
    </row>
    <row r="2739" spans="1:1">
      <c r="A2739" s="90"/>
    </row>
    <row r="2740" spans="1:1">
      <c r="A2740" s="90"/>
    </row>
    <row r="2741" spans="1:1">
      <c r="A2741" s="90"/>
    </row>
    <row r="2742" spans="1:1">
      <c r="A2742" s="90"/>
    </row>
    <row r="2743" spans="1:1">
      <c r="A2743" s="90"/>
    </row>
    <row r="2744" spans="1:1">
      <c r="A2744" s="90"/>
    </row>
    <row r="2745" spans="1:1">
      <c r="A2745" s="90"/>
    </row>
    <row r="2746" spans="1:1">
      <c r="A2746" s="90"/>
    </row>
    <row r="2747" spans="1:1">
      <c r="A2747" s="90"/>
    </row>
    <row r="2748" spans="1:1">
      <c r="A2748" s="90"/>
    </row>
    <row r="2749" spans="1:1">
      <c r="A2749" s="90"/>
    </row>
    <row r="2750" spans="1:1">
      <c r="A2750" s="90"/>
    </row>
    <row r="2751" spans="1:1">
      <c r="A2751" s="90"/>
    </row>
    <row r="2752" spans="1:1">
      <c r="A2752" s="90"/>
    </row>
    <row r="2753" spans="1:1">
      <c r="A2753" s="90"/>
    </row>
    <row r="2754" spans="1:1">
      <c r="A2754" s="90"/>
    </row>
    <row r="2755" spans="1:1">
      <c r="A2755" s="90"/>
    </row>
    <row r="2756" spans="1:1">
      <c r="A2756" s="90"/>
    </row>
    <row r="2757" spans="1:1">
      <c r="A2757" s="90"/>
    </row>
    <row r="2758" spans="1:1">
      <c r="A2758" s="90"/>
    </row>
    <row r="2759" spans="1:1">
      <c r="A2759" s="90"/>
    </row>
    <row r="2760" spans="1:1">
      <c r="A2760" s="90"/>
    </row>
    <row r="2761" spans="1:1">
      <c r="A2761" s="90"/>
    </row>
    <row r="2762" spans="1:1">
      <c r="A2762" s="90"/>
    </row>
    <row r="2763" spans="1:1">
      <c r="A2763" s="90"/>
    </row>
    <row r="2764" spans="1:1">
      <c r="A2764" s="90"/>
    </row>
    <row r="2765" spans="1:1">
      <c r="A2765" s="90"/>
    </row>
    <row r="2766" spans="1:1">
      <c r="A2766" s="90"/>
    </row>
    <row r="2767" spans="1:1">
      <c r="A2767" s="90"/>
    </row>
    <row r="2768" spans="1:1">
      <c r="A2768" s="90"/>
    </row>
    <row r="2769" spans="1:1">
      <c r="A2769" s="90"/>
    </row>
    <row r="2770" spans="1:1">
      <c r="A2770" s="90"/>
    </row>
    <row r="2771" spans="1:1">
      <c r="A2771" s="90"/>
    </row>
    <row r="2772" spans="1:1">
      <c r="A2772" s="90"/>
    </row>
    <row r="2773" spans="1:1">
      <c r="A2773" s="90"/>
    </row>
    <row r="2774" spans="1:1">
      <c r="A2774" s="90"/>
    </row>
    <row r="2775" spans="1:1">
      <c r="A2775" s="90"/>
    </row>
    <row r="2776" spans="1:1">
      <c r="A2776" s="90"/>
    </row>
    <row r="2777" spans="1:1">
      <c r="A2777" s="90"/>
    </row>
    <row r="2778" spans="1:1">
      <c r="A2778" s="90"/>
    </row>
    <row r="2779" spans="1:1">
      <c r="A2779" s="90"/>
    </row>
    <row r="2780" spans="1:1">
      <c r="A2780" s="90"/>
    </row>
    <row r="2781" spans="1:1">
      <c r="A2781" s="90"/>
    </row>
    <row r="2782" spans="1:1">
      <c r="A2782" s="90"/>
    </row>
    <row r="2783" spans="1:1">
      <c r="A2783" s="90"/>
    </row>
    <row r="2784" spans="1:1">
      <c r="A2784" s="90"/>
    </row>
    <row r="2785" spans="1:1">
      <c r="A2785" s="90"/>
    </row>
    <row r="2786" spans="1:1">
      <c r="A2786" s="90"/>
    </row>
    <row r="2787" spans="1:1">
      <c r="A2787" s="90"/>
    </row>
    <row r="2788" spans="1:1">
      <c r="A2788" s="90"/>
    </row>
    <row r="2789" spans="1:1">
      <c r="A2789" s="90"/>
    </row>
    <row r="2790" spans="1:1">
      <c r="A2790" s="90"/>
    </row>
    <row r="2791" spans="1:1">
      <c r="A2791" s="90"/>
    </row>
    <row r="2792" spans="1:1">
      <c r="A2792" s="90"/>
    </row>
    <row r="2793" spans="1:1">
      <c r="A2793" s="90"/>
    </row>
    <row r="2794" spans="1:1">
      <c r="A2794" s="90"/>
    </row>
    <row r="2795" spans="1:1">
      <c r="A2795" s="90"/>
    </row>
    <row r="2796" spans="1:1">
      <c r="A2796" s="90"/>
    </row>
    <row r="2797" spans="1:1">
      <c r="A2797" s="90"/>
    </row>
    <row r="2798" spans="1:1">
      <c r="A2798" s="90"/>
    </row>
    <row r="2799" spans="1:1">
      <c r="A2799" s="90"/>
    </row>
    <row r="2800" spans="1:1">
      <c r="A2800" s="90"/>
    </row>
    <row r="2801" spans="1:1">
      <c r="A2801" s="90"/>
    </row>
    <row r="2802" spans="1:1">
      <c r="A2802" s="90"/>
    </row>
    <row r="2803" spans="1:1">
      <c r="A2803" s="90"/>
    </row>
    <row r="2804" spans="1:1">
      <c r="A2804" s="90"/>
    </row>
    <row r="2805" spans="1:1">
      <c r="A2805" s="90"/>
    </row>
    <row r="2806" spans="1:1">
      <c r="A2806" s="90"/>
    </row>
    <row r="2807" spans="1:1">
      <c r="A2807" s="90"/>
    </row>
    <row r="2808" spans="1:1">
      <c r="A2808" s="90"/>
    </row>
    <row r="2809" spans="1:1">
      <c r="A2809" s="90"/>
    </row>
    <row r="2810" spans="1:1">
      <c r="A2810" s="90"/>
    </row>
    <row r="2811" spans="1:1">
      <c r="A2811" s="90"/>
    </row>
    <row r="2812" spans="1:1">
      <c r="A2812" s="90"/>
    </row>
    <row r="2813" spans="1:1">
      <c r="A2813" s="90"/>
    </row>
    <row r="2814" spans="1:1">
      <c r="A2814" s="90"/>
    </row>
    <row r="2815" spans="1:1">
      <c r="A2815" s="90"/>
    </row>
    <row r="2816" spans="1:1">
      <c r="A2816" s="90"/>
    </row>
    <row r="2817" spans="1:1">
      <c r="A2817" s="90"/>
    </row>
    <row r="2818" spans="1:1">
      <c r="A2818" s="90"/>
    </row>
    <row r="2819" spans="1:1">
      <c r="A2819" s="90"/>
    </row>
    <row r="2820" spans="1:1">
      <c r="A2820" s="90"/>
    </row>
    <row r="2821" spans="1:1">
      <c r="A2821" s="90"/>
    </row>
    <row r="2822" spans="1:1">
      <c r="A2822" s="90"/>
    </row>
    <row r="2823" spans="1:1">
      <c r="A2823" s="90"/>
    </row>
    <row r="2824" spans="1:1">
      <c r="A2824" s="90"/>
    </row>
    <row r="2825" spans="1:1">
      <c r="A2825" s="90"/>
    </row>
    <row r="2826" spans="1:1">
      <c r="A2826" s="90"/>
    </row>
    <row r="2827" spans="1:1">
      <c r="A2827" s="90"/>
    </row>
    <row r="2828" spans="1:1">
      <c r="A2828" s="90"/>
    </row>
    <row r="2829" spans="1:1">
      <c r="A2829" s="90"/>
    </row>
    <row r="2830" spans="1:1">
      <c r="A2830" s="90"/>
    </row>
    <row r="2831" spans="1:1">
      <c r="A2831" s="90"/>
    </row>
    <row r="2832" spans="1:1">
      <c r="A2832" s="90"/>
    </row>
    <row r="2833" spans="1:1">
      <c r="A2833" s="90"/>
    </row>
    <row r="2834" spans="1:1">
      <c r="A2834" s="90"/>
    </row>
    <row r="2835" spans="1:1">
      <c r="A2835" s="90"/>
    </row>
    <row r="2836" spans="1:1">
      <c r="A2836" s="90"/>
    </row>
    <row r="2837" spans="1:1">
      <c r="A2837" s="90"/>
    </row>
    <row r="2838" spans="1:1">
      <c r="A2838" s="90"/>
    </row>
    <row r="2839" spans="1:1">
      <c r="A2839" s="90"/>
    </row>
    <row r="2840" spans="1:1">
      <c r="A2840" s="90"/>
    </row>
    <row r="2841" spans="1:1">
      <c r="A2841" s="90"/>
    </row>
    <row r="2842" spans="1:1">
      <c r="A2842" s="90"/>
    </row>
    <row r="2843" spans="1:1">
      <c r="A2843" s="90"/>
    </row>
    <row r="2844" spans="1:1">
      <c r="A2844" s="90"/>
    </row>
    <row r="2845" spans="1:1">
      <c r="A2845" s="90"/>
    </row>
    <row r="2846" spans="1:1">
      <c r="A2846" s="90"/>
    </row>
    <row r="2847" spans="1:1">
      <c r="A2847" s="90"/>
    </row>
    <row r="2848" spans="1:1">
      <c r="A2848" s="90"/>
    </row>
    <row r="2849" spans="1:1">
      <c r="A2849" s="90"/>
    </row>
    <row r="2850" spans="1:1">
      <c r="A2850" s="90"/>
    </row>
    <row r="2851" spans="1:1">
      <c r="A2851" s="90"/>
    </row>
    <row r="2852" spans="1:1">
      <c r="A2852" s="90"/>
    </row>
    <row r="2853" spans="1:1">
      <c r="A2853" s="90"/>
    </row>
    <row r="2854" spans="1:1">
      <c r="A2854" s="90"/>
    </row>
    <row r="2855" spans="1:1">
      <c r="A2855" s="90"/>
    </row>
    <row r="2856" spans="1:1">
      <c r="A2856" s="90"/>
    </row>
    <row r="2857" spans="1:1">
      <c r="A2857" s="90"/>
    </row>
    <row r="2858" spans="1:1">
      <c r="A2858" s="90"/>
    </row>
    <row r="2859" spans="1:1">
      <c r="A2859" s="90"/>
    </row>
    <row r="2860" spans="1:1">
      <c r="A2860" s="90"/>
    </row>
    <row r="2861" spans="1:1">
      <c r="A2861" s="90"/>
    </row>
    <row r="2862" spans="1:1">
      <c r="A2862" s="90"/>
    </row>
    <row r="2863" spans="1:1">
      <c r="A2863" s="90"/>
    </row>
    <row r="2864" spans="1:1">
      <c r="A2864" s="90"/>
    </row>
    <row r="2865" spans="1:1">
      <c r="A2865" s="90"/>
    </row>
    <row r="2866" spans="1:1">
      <c r="A2866" s="90"/>
    </row>
    <row r="2867" spans="1:1">
      <c r="A2867" s="90"/>
    </row>
    <row r="2868" spans="1:1">
      <c r="A2868" s="90"/>
    </row>
    <row r="2869" spans="1:1">
      <c r="A2869" s="90"/>
    </row>
    <row r="2870" spans="1:1">
      <c r="A2870" s="90"/>
    </row>
    <row r="2871" spans="1:1">
      <c r="A2871" s="90"/>
    </row>
    <row r="2872" spans="1:1">
      <c r="A2872" s="90"/>
    </row>
    <row r="2873" spans="1:1">
      <c r="A2873" s="90"/>
    </row>
    <row r="2874" spans="1:1">
      <c r="A2874" s="90"/>
    </row>
    <row r="2875" spans="1:1">
      <c r="A2875" s="90"/>
    </row>
    <row r="2876" spans="1:1">
      <c r="A2876" s="90"/>
    </row>
    <row r="2877" spans="1:1">
      <c r="A2877" s="90"/>
    </row>
    <row r="2878" spans="1:1">
      <c r="A2878" s="90"/>
    </row>
    <row r="2879" spans="1:1">
      <c r="A2879" s="90"/>
    </row>
    <row r="2880" spans="1:1">
      <c r="A2880" s="90"/>
    </row>
    <row r="2881" spans="1:1">
      <c r="A2881" s="90"/>
    </row>
    <row r="2882" spans="1:1">
      <c r="A2882" s="90"/>
    </row>
    <row r="2883" spans="1:1">
      <c r="A2883" s="90"/>
    </row>
    <row r="2884" spans="1:1">
      <c r="A2884" s="90"/>
    </row>
    <row r="2885" spans="1:1">
      <c r="A2885" s="90"/>
    </row>
    <row r="2886" spans="1:1">
      <c r="A2886" s="90"/>
    </row>
    <row r="2887" spans="1:1">
      <c r="A2887" s="90"/>
    </row>
    <row r="2888" spans="1:1">
      <c r="A2888" s="90"/>
    </row>
    <row r="2889" spans="1:1">
      <c r="A2889" s="90"/>
    </row>
    <row r="2890" spans="1:1">
      <c r="A2890" s="90"/>
    </row>
    <row r="2891" spans="1:1">
      <c r="A2891" s="90"/>
    </row>
    <row r="2892" spans="1:1">
      <c r="A2892" s="90"/>
    </row>
    <row r="2893" spans="1:1">
      <c r="A2893" s="90"/>
    </row>
    <row r="2894" spans="1:1">
      <c r="A2894" s="90"/>
    </row>
    <row r="2895" spans="1:1">
      <c r="A2895" s="90"/>
    </row>
    <row r="2896" spans="1:1">
      <c r="A2896" s="90"/>
    </row>
    <row r="2897" spans="1:1">
      <c r="A2897" s="90"/>
    </row>
    <row r="2898" spans="1:1">
      <c r="A2898" s="90"/>
    </row>
    <row r="2899" spans="1:1">
      <c r="A2899" s="90"/>
    </row>
    <row r="2900" spans="1:1">
      <c r="A2900" s="90"/>
    </row>
    <row r="2901" spans="1:1">
      <c r="A2901" s="90"/>
    </row>
    <row r="2902" spans="1:1">
      <c r="A2902" s="90"/>
    </row>
    <row r="2903" spans="1:1">
      <c r="A2903" s="90"/>
    </row>
    <row r="2904" spans="1:1">
      <c r="A2904" s="90"/>
    </row>
    <row r="2905" spans="1:1">
      <c r="A2905" s="90"/>
    </row>
    <row r="2906" spans="1:1">
      <c r="A2906" s="90"/>
    </row>
    <row r="2907" spans="1:1">
      <c r="A2907" s="90"/>
    </row>
    <row r="2908" spans="1:1">
      <c r="A2908" s="90"/>
    </row>
    <row r="2909" spans="1:1">
      <c r="A2909" s="90"/>
    </row>
    <row r="2910" spans="1:1">
      <c r="A2910" s="90"/>
    </row>
    <row r="2911" spans="1:1">
      <c r="A2911" s="90"/>
    </row>
    <row r="2912" spans="1:1">
      <c r="A2912" s="90"/>
    </row>
    <row r="2913" spans="1:1">
      <c r="A2913" s="90"/>
    </row>
    <row r="2914" spans="1:1">
      <c r="A2914" s="90"/>
    </row>
    <row r="2915" spans="1:1">
      <c r="A2915" s="90"/>
    </row>
    <row r="2916" spans="1:1">
      <c r="A2916" s="90"/>
    </row>
    <row r="2917" spans="1:1">
      <c r="A2917" s="90"/>
    </row>
    <row r="2918" spans="1:1">
      <c r="A2918" s="90"/>
    </row>
    <row r="2919" spans="1:1">
      <c r="A2919" s="90"/>
    </row>
    <row r="2920" spans="1:1">
      <c r="A2920" s="90"/>
    </row>
    <row r="2921" spans="1:1">
      <c r="A2921" s="90"/>
    </row>
    <row r="2922" spans="1:1">
      <c r="A2922" s="90"/>
    </row>
    <row r="2923" spans="1:1">
      <c r="A2923" s="90"/>
    </row>
    <row r="2924" spans="1:1">
      <c r="A2924" s="90"/>
    </row>
    <row r="2925" spans="1:1">
      <c r="A2925" s="90"/>
    </row>
    <row r="2926" spans="1:1">
      <c r="A2926" s="90"/>
    </row>
    <row r="2927" spans="1:1">
      <c r="A2927" s="90"/>
    </row>
    <row r="2928" spans="1:1">
      <c r="A2928" s="90"/>
    </row>
    <row r="2929" spans="1:1">
      <c r="A2929" s="90"/>
    </row>
    <row r="2930" spans="1:1">
      <c r="A2930" s="90"/>
    </row>
    <row r="2931" spans="1:1">
      <c r="A2931" s="90"/>
    </row>
    <row r="2932" spans="1:1">
      <c r="A2932" s="90"/>
    </row>
    <row r="2933" spans="1:1">
      <c r="A2933" s="90"/>
    </row>
    <row r="2934" spans="1:1">
      <c r="A2934" s="90"/>
    </row>
    <row r="2935" spans="1:1">
      <c r="A2935" s="90"/>
    </row>
    <row r="2936" spans="1:1">
      <c r="A2936" s="90"/>
    </row>
    <row r="2937" spans="1:1">
      <c r="A2937" s="90"/>
    </row>
    <row r="2938" spans="1:1">
      <c r="A2938" s="90"/>
    </row>
    <row r="2939" spans="1:1">
      <c r="A2939" s="90"/>
    </row>
    <row r="2940" spans="1:1">
      <c r="A2940" s="90"/>
    </row>
    <row r="2941" spans="1:1">
      <c r="A2941" s="90"/>
    </row>
    <row r="2942" spans="1:1">
      <c r="A2942" s="90"/>
    </row>
    <row r="2943" spans="1:1">
      <c r="A2943" s="90"/>
    </row>
    <row r="2944" spans="1:1">
      <c r="A2944" s="90"/>
    </row>
    <row r="2945" spans="1:1">
      <c r="A2945" s="90"/>
    </row>
    <row r="2946" spans="1:1">
      <c r="A2946" s="90"/>
    </row>
    <row r="2947" spans="1:1">
      <c r="A2947" s="90"/>
    </row>
    <row r="2948" spans="1:1">
      <c r="A2948" s="90"/>
    </row>
    <row r="2949" spans="1:1">
      <c r="A2949" s="90"/>
    </row>
    <row r="2950" spans="1:1">
      <c r="A2950" s="90"/>
    </row>
    <row r="2951" spans="1:1">
      <c r="A2951" s="90"/>
    </row>
    <row r="2952" spans="1:1">
      <c r="A2952" s="90"/>
    </row>
    <row r="2953" spans="1:1">
      <c r="A2953" s="90"/>
    </row>
    <row r="2954" spans="1:1">
      <c r="A2954" s="90"/>
    </row>
    <row r="2955" spans="1:1">
      <c r="A2955" s="90"/>
    </row>
    <row r="2956" spans="1:1">
      <c r="A2956" s="90"/>
    </row>
    <row r="2957" spans="1:1">
      <c r="A2957" s="90"/>
    </row>
    <row r="2958" spans="1:1">
      <c r="A2958" s="90"/>
    </row>
    <row r="2959" spans="1:1">
      <c r="A2959" s="90"/>
    </row>
    <row r="2960" spans="1:1">
      <c r="A2960" s="90"/>
    </row>
    <row r="2961" spans="1:1">
      <c r="A2961" s="90"/>
    </row>
    <row r="2962" spans="1:1">
      <c r="A2962" s="90"/>
    </row>
    <row r="2963" spans="1:1">
      <c r="A2963" s="90"/>
    </row>
    <row r="2964" spans="1:1">
      <c r="A2964" s="90"/>
    </row>
    <row r="2965" spans="1:1">
      <c r="A2965" s="90"/>
    </row>
    <row r="2966" spans="1:1">
      <c r="A2966" s="90"/>
    </row>
    <row r="2967" spans="1:1">
      <c r="A2967" s="90"/>
    </row>
    <row r="2968" spans="1:1">
      <c r="A2968" s="90"/>
    </row>
    <row r="2969" spans="1:1">
      <c r="A2969" s="90"/>
    </row>
    <row r="2970" spans="1:1">
      <c r="A2970" s="90"/>
    </row>
    <row r="2971" spans="1:1">
      <c r="A2971" s="90"/>
    </row>
    <row r="2972" spans="1:1">
      <c r="A2972" s="90"/>
    </row>
    <row r="2973" spans="1:1">
      <c r="A2973" s="90"/>
    </row>
    <row r="2974" spans="1:1">
      <c r="A2974" s="90"/>
    </row>
    <row r="2975" spans="1:1">
      <c r="A2975" s="90"/>
    </row>
    <row r="2976" spans="1:1">
      <c r="A2976" s="90"/>
    </row>
    <row r="2977" spans="1:1">
      <c r="A2977" s="90"/>
    </row>
    <row r="2978" spans="1:1">
      <c r="A2978" s="90"/>
    </row>
    <row r="2979" spans="1:1">
      <c r="A2979" s="90"/>
    </row>
    <row r="2980" spans="1:1">
      <c r="A2980" s="90"/>
    </row>
    <row r="2981" spans="1:1">
      <c r="A2981" s="90"/>
    </row>
    <row r="2982" spans="1:1">
      <c r="A2982" s="90"/>
    </row>
    <row r="2983" spans="1:1">
      <c r="A2983" s="90"/>
    </row>
    <row r="2984" spans="1:1">
      <c r="A2984" s="90"/>
    </row>
    <row r="2985" spans="1:1">
      <c r="A2985" s="90"/>
    </row>
    <row r="2986" spans="1:1">
      <c r="A2986" s="90"/>
    </row>
    <row r="2987" spans="1:1">
      <c r="A2987" s="90"/>
    </row>
    <row r="2988" spans="1:1">
      <c r="A2988" s="90"/>
    </row>
    <row r="2989" spans="1:1">
      <c r="A2989" s="90"/>
    </row>
    <row r="2990" spans="1:1">
      <c r="A2990" s="90"/>
    </row>
    <row r="2991" spans="1:1">
      <c r="A2991" s="90"/>
    </row>
    <row r="2992" spans="1:1">
      <c r="A2992" s="90"/>
    </row>
    <row r="2993" spans="1:1">
      <c r="A2993" s="90"/>
    </row>
    <row r="2994" spans="1:1">
      <c r="A2994" s="90"/>
    </row>
    <row r="2995" spans="1:1">
      <c r="A2995" s="90"/>
    </row>
    <row r="2996" spans="1:1">
      <c r="A2996" s="90"/>
    </row>
    <row r="2997" spans="1:1">
      <c r="A2997" s="90"/>
    </row>
    <row r="2998" spans="1:1">
      <c r="A2998" s="90"/>
    </row>
    <row r="2999" spans="1:1">
      <c r="A2999" s="90"/>
    </row>
    <row r="3000" spans="1:1">
      <c r="A3000" s="90"/>
    </row>
    <row r="3001" spans="1:1">
      <c r="A3001" s="90"/>
    </row>
    <row r="3002" spans="1:1">
      <c r="A3002" s="90"/>
    </row>
    <row r="3003" spans="1:1">
      <c r="A3003" s="90"/>
    </row>
    <row r="3004" spans="1:1">
      <c r="A3004" s="90"/>
    </row>
    <row r="3005" spans="1:1">
      <c r="A3005" s="90"/>
    </row>
    <row r="3006" spans="1:1">
      <c r="A3006" s="90"/>
    </row>
    <row r="3007" spans="1:1">
      <c r="A3007" s="90"/>
    </row>
    <row r="3008" spans="1:1">
      <c r="A3008" s="90"/>
    </row>
    <row r="3009" spans="1:1">
      <c r="A3009" s="90"/>
    </row>
    <row r="3010" spans="1:1">
      <c r="A3010" s="90"/>
    </row>
    <row r="3011" spans="1:1">
      <c r="A3011" s="90"/>
    </row>
    <row r="3012" spans="1:1">
      <c r="A3012" s="90"/>
    </row>
    <row r="3013" spans="1:1">
      <c r="A3013" s="90"/>
    </row>
    <row r="3014" spans="1:1">
      <c r="A3014" s="90"/>
    </row>
    <row r="3015" spans="1:1">
      <c r="A3015" s="90"/>
    </row>
    <row r="3016" spans="1:1">
      <c r="A3016" s="90"/>
    </row>
    <row r="3017" spans="1:1">
      <c r="A3017" s="90"/>
    </row>
    <row r="3018" spans="1:1">
      <c r="A3018" s="90"/>
    </row>
    <row r="3019" spans="1:1">
      <c r="A3019" s="90"/>
    </row>
    <row r="3020" spans="1:1">
      <c r="A3020" s="90"/>
    </row>
    <row r="3021" spans="1:1">
      <c r="A3021" s="90"/>
    </row>
    <row r="3022" spans="1:1">
      <c r="A3022" s="90"/>
    </row>
    <row r="3023" spans="1:1">
      <c r="A3023" s="90"/>
    </row>
    <row r="3024" spans="1:1">
      <c r="A3024" s="90"/>
    </row>
    <row r="3025" spans="1:1">
      <c r="A3025" s="90"/>
    </row>
    <row r="3026" spans="1:1">
      <c r="A3026" s="90"/>
    </row>
    <row r="3027" spans="1:1">
      <c r="A3027" s="90"/>
    </row>
    <row r="3028" spans="1:1">
      <c r="A3028" s="90"/>
    </row>
    <row r="3029" spans="1:1">
      <c r="A3029" s="90"/>
    </row>
    <row r="3030" spans="1:1">
      <c r="A3030" s="90"/>
    </row>
    <row r="3031" spans="1:1">
      <c r="A3031" s="90"/>
    </row>
    <row r="3032" spans="1:1">
      <c r="A3032" s="90"/>
    </row>
    <row r="3033" spans="1:1">
      <c r="A3033" s="90"/>
    </row>
    <row r="3034" spans="1:1">
      <c r="A3034" s="90"/>
    </row>
    <row r="3035" spans="1:1">
      <c r="A3035" s="90"/>
    </row>
    <row r="3036" spans="1:1">
      <c r="A3036" s="90"/>
    </row>
    <row r="3037" spans="1:1">
      <c r="A3037" s="90"/>
    </row>
    <row r="3038" spans="1:1">
      <c r="A3038" s="90"/>
    </row>
    <row r="3039" spans="1:1">
      <c r="A3039" s="90"/>
    </row>
    <row r="3040" spans="1:1">
      <c r="A3040" s="90"/>
    </row>
    <row r="3041" spans="1:1">
      <c r="A3041" s="90"/>
    </row>
    <row r="3042" spans="1:1">
      <c r="A3042" s="90"/>
    </row>
    <row r="3043" spans="1:1">
      <c r="A3043" s="90"/>
    </row>
    <row r="3044" spans="1:1">
      <c r="A3044" s="90"/>
    </row>
    <row r="3045" spans="1:1">
      <c r="A3045" s="90"/>
    </row>
    <row r="3046" spans="1:1">
      <c r="A3046" s="90"/>
    </row>
    <row r="3047" spans="1:1">
      <c r="A3047" s="90"/>
    </row>
    <row r="3048" spans="1:1">
      <c r="A3048" s="90"/>
    </row>
    <row r="3049" spans="1:1">
      <c r="A3049" s="90"/>
    </row>
    <row r="3050" spans="1:1">
      <c r="A3050" s="90"/>
    </row>
    <row r="3051" spans="1:1">
      <c r="A3051" s="90"/>
    </row>
    <row r="3052" spans="1:1">
      <c r="A3052" s="90"/>
    </row>
    <row r="3053" spans="1:1">
      <c r="A3053" s="90"/>
    </row>
    <row r="3054" spans="1:1">
      <c r="A3054" s="90"/>
    </row>
    <row r="3055" spans="1:1">
      <c r="A3055" s="90"/>
    </row>
    <row r="3056" spans="1:1">
      <c r="A3056" s="90"/>
    </row>
    <row r="3057" spans="1:1">
      <c r="A3057" s="90"/>
    </row>
    <row r="3058" spans="1:1">
      <c r="A3058" s="90"/>
    </row>
    <row r="3059" spans="1:1">
      <c r="A3059" s="90"/>
    </row>
    <row r="3060" spans="1:1">
      <c r="A3060" s="90"/>
    </row>
    <row r="3061" spans="1:1">
      <c r="A3061" s="90"/>
    </row>
    <row r="3062" spans="1:1">
      <c r="A3062" s="90"/>
    </row>
    <row r="3063" spans="1:1">
      <c r="A3063" s="90"/>
    </row>
    <row r="3064" spans="1:1">
      <c r="A3064" s="90"/>
    </row>
    <row r="3065" spans="1:1">
      <c r="A3065" s="90"/>
    </row>
    <row r="3066" spans="1:1">
      <c r="A3066" s="90"/>
    </row>
    <row r="3067" spans="1:1">
      <c r="A3067" s="90"/>
    </row>
    <row r="3068" spans="1:1">
      <c r="A3068" s="90"/>
    </row>
    <row r="3069" spans="1:1">
      <c r="A3069" s="90"/>
    </row>
    <row r="3070" spans="1:1">
      <c r="A3070" s="90"/>
    </row>
    <row r="3071" spans="1:1">
      <c r="A3071" s="90"/>
    </row>
    <row r="3072" spans="1:1">
      <c r="A3072" s="90"/>
    </row>
    <row r="3073" spans="1:1">
      <c r="A3073" s="90"/>
    </row>
    <row r="3074" spans="1:1">
      <c r="A3074" s="90"/>
    </row>
    <row r="3075" spans="1:1">
      <c r="A3075" s="90"/>
    </row>
    <row r="3076" spans="1:1">
      <c r="A3076" s="90"/>
    </row>
    <row r="3077" spans="1:1">
      <c r="A3077" s="90"/>
    </row>
    <row r="3078" spans="1:1">
      <c r="A3078" s="90"/>
    </row>
    <row r="3079" spans="1:1">
      <c r="A3079" s="90"/>
    </row>
    <row r="3080" spans="1:1">
      <c r="A3080" s="90"/>
    </row>
    <row r="3081" spans="1:1">
      <c r="A3081" s="90"/>
    </row>
    <row r="3082" spans="1:1">
      <c r="A3082" s="90"/>
    </row>
    <row r="3083" spans="1:1">
      <c r="A3083" s="90"/>
    </row>
    <row r="3084" spans="1:1">
      <c r="A3084" s="90"/>
    </row>
    <row r="3085" spans="1:1">
      <c r="A3085" s="90"/>
    </row>
    <row r="3086" spans="1:1">
      <c r="A3086" s="90"/>
    </row>
    <row r="3087" spans="1:1">
      <c r="A3087" s="90"/>
    </row>
    <row r="3088" spans="1:1">
      <c r="A3088" s="90"/>
    </row>
    <row r="3089" spans="1:1">
      <c r="A3089" s="90"/>
    </row>
    <row r="3090" spans="1:1">
      <c r="A3090" s="90"/>
    </row>
    <row r="3091" spans="1:1">
      <c r="A3091" s="90"/>
    </row>
    <row r="3092" spans="1:1">
      <c r="A3092" s="90"/>
    </row>
    <row r="3093" spans="1:1">
      <c r="A3093" s="90"/>
    </row>
    <row r="3094" spans="1:1">
      <c r="A3094" s="90"/>
    </row>
    <row r="3095" spans="1:1">
      <c r="A3095" s="90"/>
    </row>
    <row r="3096" spans="1:1">
      <c r="A3096" s="90"/>
    </row>
    <row r="3097" spans="1:1">
      <c r="A3097" s="90"/>
    </row>
    <row r="3098" spans="1:1">
      <c r="A3098" s="90"/>
    </row>
    <row r="3099" spans="1:1">
      <c r="A3099" s="90"/>
    </row>
    <row r="3100" spans="1:1">
      <c r="A3100" s="90"/>
    </row>
    <row r="3101" spans="1:1">
      <c r="A3101" s="90"/>
    </row>
    <row r="3102" spans="1:1">
      <c r="A3102" s="90"/>
    </row>
    <row r="3103" spans="1:1">
      <c r="A3103" s="90"/>
    </row>
    <row r="3104" spans="1:1">
      <c r="A3104" s="90"/>
    </row>
    <row r="3105" spans="1:1">
      <c r="A3105" s="90"/>
    </row>
    <row r="3106" spans="1:1">
      <c r="A3106" s="90"/>
    </row>
    <row r="3107" spans="1:1">
      <c r="A3107" s="90"/>
    </row>
    <row r="3108" spans="1:1">
      <c r="A3108" s="90"/>
    </row>
    <row r="3109" spans="1:1">
      <c r="A3109" s="90"/>
    </row>
    <row r="3110" spans="1:1">
      <c r="A3110" s="90"/>
    </row>
    <row r="3111" spans="1:1">
      <c r="A3111" s="90"/>
    </row>
    <row r="3112" spans="1:1">
      <c r="A3112" s="90"/>
    </row>
    <row r="3113" spans="1:1">
      <c r="A3113" s="90"/>
    </row>
    <row r="3114" spans="1:1">
      <c r="A3114" s="90"/>
    </row>
    <row r="3115" spans="1:1">
      <c r="A3115" s="90"/>
    </row>
    <row r="3116" spans="1:1">
      <c r="A3116" s="90"/>
    </row>
    <row r="3117" spans="1:1">
      <c r="A3117" s="90"/>
    </row>
    <row r="3118" spans="1:1">
      <c r="A3118" s="90"/>
    </row>
    <row r="3119" spans="1:1">
      <c r="A3119" s="90"/>
    </row>
    <row r="3120" spans="1:1">
      <c r="A3120" s="90"/>
    </row>
    <row r="3121" spans="1:1">
      <c r="A3121" s="90"/>
    </row>
    <row r="3122" spans="1:1">
      <c r="A3122" s="90"/>
    </row>
    <row r="3123" spans="1:1">
      <c r="A3123" s="90"/>
    </row>
    <row r="3124" spans="1:1">
      <c r="A3124" s="90"/>
    </row>
    <row r="3125" spans="1:1">
      <c r="A3125" s="90"/>
    </row>
    <row r="3126" spans="1:1">
      <c r="A3126" s="90"/>
    </row>
    <row r="3127" spans="1:1">
      <c r="A3127" s="90"/>
    </row>
    <row r="3128" spans="1:1">
      <c r="A3128" s="90"/>
    </row>
    <row r="3129" spans="1:1">
      <c r="A3129" s="90"/>
    </row>
    <row r="3130" spans="1:1">
      <c r="A3130" s="90"/>
    </row>
    <row r="3131" spans="1:1">
      <c r="A3131" s="90"/>
    </row>
    <row r="3132" spans="1:1">
      <c r="A3132" s="90"/>
    </row>
    <row r="3133" spans="1:1">
      <c r="A3133" s="90"/>
    </row>
    <row r="3134" spans="1:1">
      <c r="A3134" s="90"/>
    </row>
    <row r="3135" spans="1:1">
      <c r="A3135" s="90"/>
    </row>
    <row r="3136" spans="1:1">
      <c r="A3136" s="90"/>
    </row>
    <row r="3137" spans="1:1">
      <c r="A3137" s="90"/>
    </row>
    <row r="3138" spans="1:1">
      <c r="A3138" s="90"/>
    </row>
    <row r="3139" spans="1:1">
      <c r="A3139" s="90"/>
    </row>
    <row r="3140" spans="1:1">
      <c r="A3140" s="90"/>
    </row>
    <row r="3141" spans="1:1">
      <c r="A3141" s="90"/>
    </row>
    <row r="3142" spans="1:1">
      <c r="A3142" s="90"/>
    </row>
    <row r="3143" spans="1:1">
      <c r="A3143" s="90"/>
    </row>
    <row r="3144" spans="1:1">
      <c r="A3144" s="90"/>
    </row>
    <row r="3145" spans="1:1">
      <c r="A3145" s="90"/>
    </row>
    <row r="3146" spans="1:1">
      <c r="A3146" s="90"/>
    </row>
    <row r="3147" spans="1:1">
      <c r="A3147" s="90"/>
    </row>
    <row r="3148" spans="1:1">
      <c r="A3148" s="90"/>
    </row>
    <row r="3149" spans="1:1">
      <c r="A3149" s="90"/>
    </row>
    <row r="3150" spans="1:1">
      <c r="A3150" s="90"/>
    </row>
    <row r="3151" spans="1:1">
      <c r="A3151" s="90"/>
    </row>
    <row r="3152" spans="1:1">
      <c r="A3152" s="90"/>
    </row>
    <row r="3153" spans="1:1">
      <c r="A3153" s="90"/>
    </row>
    <row r="3154" spans="1:1">
      <c r="A3154" s="90"/>
    </row>
    <row r="3155" spans="1:1">
      <c r="A3155" s="90"/>
    </row>
    <row r="3156" spans="1:1">
      <c r="A3156" s="90"/>
    </row>
    <row r="3157" spans="1:1">
      <c r="A3157" s="90"/>
    </row>
    <row r="3158" spans="1:1">
      <c r="A3158" s="90"/>
    </row>
    <row r="3159" spans="1:1">
      <c r="A3159" s="90"/>
    </row>
    <row r="3160" spans="1:1">
      <c r="A3160" s="90"/>
    </row>
    <row r="3161" spans="1:1">
      <c r="A3161" s="90"/>
    </row>
    <row r="3162" spans="1:1">
      <c r="A3162" s="90"/>
    </row>
    <row r="3163" spans="1:1">
      <c r="A3163" s="90"/>
    </row>
    <row r="3164" spans="1:1">
      <c r="A3164" s="90"/>
    </row>
    <row r="3165" spans="1:1">
      <c r="A3165" s="90"/>
    </row>
    <row r="3166" spans="1:1">
      <c r="A3166" s="90"/>
    </row>
    <row r="3167" spans="1:1">
      <c r="A3167" s="90"/>
    </row>
    <row r="3168" spans="1:1">
      <c r="A3168" s="90"/>
    </row>
    <row r="3169" spans="1:1">
      <c r="A3169" s="90"/>
    </row>
    <row r="3170" spans="1:1">
      <c r="A3170" s="90"/>
    </row>
    <row r="3171" spans="1:1">
      <c r="A3171" s="90"/>
    </row>
    <row r="3172" spans="1:1">
      <c r="A3172" s="90"/>
    </row>
    <row r="3173" spans="1:1">
      <c r="A3173" s="90"/>
    </row>
    <row r="3174" spans="1:1">
      <c r="A3174" s="90"/>
    </row>
    <row r="3175" spans="1:1">
      <c r="A3175" s="90"/>
    </row>
    <row r="3176" spans="1:1">
      <c r="A3176" s="90"/>
    </row>
    <row r="3177" spans="1:1">
      <c r="A3177" s="90"/>
    </row>
    <row r="3178" spans="1:1">
      <c r="A3178" s="90"/>
    </row>
    <row r="3179" spans="1:1">
      <c r="A3179" s="90"/>
    </row>
    <row r="3180" spans="1:1">
      <c r="A3180" s="90"/>
    </row>
    <row r="3181" spans="1:1">
      <c r="A3181" s="90"/>
    </row>
    <row r="3182" spans="1:1">
      <c r="A3182" s="90"/>
    </row>
    <row r="3183" spans="1:1">
      <c r="A3183" s="90"/>
    </row>
    <row r="3184" spans="1:1">
      <c r="A3184" s="90"/>
    </row>
    <row r="3185" spans="1:1">
      <c r="A3185" s="90"/>
    </row>
    <row r="3186" spans="1:1">
      <c r="A3186" s="90"/>
    </row>
    <row r="3187" spans="1:1">
      <c r="A3187" s="90"/>
    </row>
    <row r="3188" spans="1:1">
      <c r="A3188" s="90"/>
    </row>
    <row r="3189" spans="1:1">
      <c r="A3189" s="90"/>
    </row>
    <row r="3190" spans="1:1">
      <c r="A3190" s="90"/>
    </row>
    <row r="3191" spans="1:1">
      <c r="A3191" s="90"/>
    </row>
    <row r="3192" spans="1:1">
      <c r="A3192" s="90"/>
    </row>
    <row r="3193" spans="1:1">
      <c r="A3193" s="90"/>
    </row>
    <row r="3194" spans="1:1">
      <c r="A3194" s="90"/>
    </row>
    <row r="3195" spans="1:1">
      <c r="A3195" s="90"/>
    </row>
    <row r="3196" spans="1:1">
      <c r="A3196" s="90"/>
    </row>
    <row r="3197" spans="1:1">
      <c r="A3197" s="90"/>
    </row>
    <row r="3198" spans="1:1">
      <c r="A3198" s="90"/>
    </row>
    <row r="3199" spans="1:1">
      <c r="A3199" s="90"/>
    </row>
    <row r="3200" spans="1:1">
      <c r="A3200" s="90"/>
    </row>
    <row r="3201" spans="1:1">
      <c r="A3201" s="90"/>
    </row>
    <row r="3202" spans="1:1">
      <c r="A3202" s="90"/>
    </row>
    <row r="3203" spans="1:1">
      <c r="A3203" s="90"/>
    </row>
    <row r="3204" spans="1:1">
      <c r="A3204" s="90"/>
    </row>
    <row r="3205" spans="1:1">
      <c r="A3205" s="90"/>
    </row>
    <row r="3206" spans="1:1">
      <c r="A3206" s="90"/>
    </row>
    <row r="3207" spans="1:1">
      <c r="A3207" s="90"/>
    </row>
    <row r="3208" spans="1:1">
      <c r="A3208" s="90"/>
    </row>
    <row r="3209" spans="1:1">
      <c r="A3209" s="90"/>
    </row>
    <row r="3210" spans="1:1">
      <c r="A3210" s="90"/>
    </row>
    <row r="3211" spans="1:1">
      <c r="A3211" s="90"/>
    </row>
    <row r="3212" spans="1:1">
      <c r="A3212" s="90"/>
    </row>
    <row r="3213" spans="1:1">
      <c r="A3213" s="90"/>
    </row>
    <row r="3214" spans="1:1">
      <c r="A3214" s="90"/>
    </row>
    <row r="3215" spans="1:1">
      <c r="A3215" s="90"/>
    </row>
    <row r="3216" spans="1:1">
      <c r="A3216" s="90"/>
    </row>
    <row r="3217" spans="1:1">
      <c r="A3217" s="90"/>
    </row>
    <row r="3218" spans="1:1">
      <c r="A3218" s="90"/>
    </row>
    <row r="3219" spans="1:1">
      <c r="A3219" s="90"/>
    </row>
    <row r="3220" spans="1:1">
      <c r="A3220" s="90"/>
    </row>
    <row r="3221" spans="1:1">
      <c r="A3221" s="90"/>
    </row>
    <row r="3222" spans="1:1">
      <c r="A3222" s="90"/>
    </row>
    <row r="3223" spans="1:1">
      <c r="A3223" s="90"/>
    </row>
    <row r="3224" spans="1:1">
      <c r="A3224" s="90"/>
    </row>
    <row r="3225" spans="1:1">
      <c r="A3225" s="90"/>
    </row>
    <row r="3226" spans="1:1">
      <c r="A3226" s="90"/>
    </row>
    <row r="3227" spans="1:1">
      <c r="A3227" s="90"/>
    </row>
    <row r="3228" spans="1:1">
      <c r="A3228" s="90"/>
    </row>
    <row r="3229" spans="1:1">
      <c r="A3229" s="90"/>
    </row>
    <row r="3230" spans="1:1">
      <c r="A3230" s="90"/>
    </row>
    <row r="3231" spans="1:1">
      <c r="A3231" s="90"/>
    </row>
    <row r="3232" spans="1:1">
      <c r="A3232" s="90"/>
    </row>
    <row r="3233" spans="1:1">
      <c r="A3233" s="90"/>
    </row>
    <row r="3234" spans="1:1">
      <c r="A3234" s="90"/>
    </row>
    <row r="3235" spans="1:1">
      <c r="A3235" s="90"/>
    </row>
    <row r="3236" spans="1:1">
      <c r="A3236" s="90"/>
    </row>
    <row r="3237" spans="1:1">
      <c r="A3237" s="90"/>
    </row>
    <row r="3238" spans="1:1">
      <c r="A3238" s="90"/>
    </row>
    <row r="3239" spans="1:1">
      <c r="A3239" s="90"/>
    </row>
    <row r="3240" spans="1:1">
      <c r="A3240" s="90"/>
    </row>
    <row r="3241" spans="1:1">
      <c r="A3241" s="90"/>
    </row>
    <row r="3242" spans="1:1">
      <c r="A3242" s="90"/>
    </row>
    <row r="3243" spans="1:1">
      <c r="A3243" s="90"/>
    </row>
    <row r="3244" spans="1:1">
      <c r="A3244" s="90"/>
    </row>
    <row r="3245" spans="1:1">
      <c r="A3245" s="90"/>
    </row>
    <row r="3246" spans="1:1">
      <c r="A3246" s="90"/>
    </row>
    <row r="3247" spans="1:1">
      <c r="A3247" s="90"/>
    </row>
    <row r="3248" spans="1:1">
      <c r="A3248" s="90"/>
    </row>
    <row r="3249" spans="1:1">
      <c r="A3249" s="90"/>
    </row>
    <row r="3250" spans="1:1">
      <c r="A3250" s="90"/>
    </row>
    <row r="3251" spans="1:1">
      <c r="A3251" s="90"/>
    </row>
    <row r="3252" spans="1:1">
      <c r="A3252" s="90"/>
    </row>
    <row r="3253" spans="1:1">
      <c r="A3253" s="90"/>
    </row>
    <row r="3254" spans="1:1">
      <c r="A3254" s="90"/>
    </row>
    <row r="3255" spans="1:1">
      <c r="A3255" s="90"/>
    </row>
    <row r="3256" spans="1:1">
      <c r="A3256" s="90"/>
    </row>
    <row r="3257" spans="1:1">
      <c r="A3257" s="90"/>
    </row>
    <row r="3258" spans="1:1">
      <c r="A3258" s="90"/>
    </row>
    <row r="3259" spans="1:1">
      <c r="A3259" s="90"/>
    </row>
    <row r="3260" spans="1:1">
      <c r="A3260" s="90"/>
    </row>
    <row r="3261" spans="1:1">
      <c r="A3261" s="90"/>
    </row>
    <row r="3262" spans="1:1">
      <c r="A3262" s="90"/>
    </row>
    <row r="3263" spans="1:1">
      <c r="A3263" s="90"/>
    </row>
    <row r="3264" spans="1:1">
      <c r="A3264" s="90"/>
    </row>
    <row r="3265" spans="1:1">
      <c r="A3265" s="90"/>
    </row>
    <row r="3266" spans="1:1">
      <c r="A3266" s="90"/>
    </row>
    <row r="3267" spans="1:1">
      <c r="A3267" s="90"/>
    </row>
    <row r="3268" spans="1:1">
      <c r="A3268" s="90"/>
    </row>
    <row r="3269" spans="1:1">
      <c r="A3269" s="90"/>
    </row>
    <row r="3270" spans="1:1">
      <c r="A3270" s="90"/>
    </row>
    <row r="3271" spans="1:1">
      <c r="A3271" s="90"/>
    </row>
    <row r="3272" spans="1:1">
      <c r="A3272" s="90"/>
    </row>
    <row r="3273" spans="1:1">
      <c r="A3273" s="90"/>
    </row>
    <row r="3274" spans="1:1">
      <c r="A3274" s="90"/>
    </row>
    <row r="3275" spans="1:1">
      <c r="A3275" s="90"/>
    </row>
    <row r="3276" spans="1:1">
      <c r="A3276" s="90"/>
    </row>
    <row r="3277" spans="1:1">
      <c r="A3277" s="90"/>
    </row>
    <row r="3278" spans="1:1">
      <c r="A3278" s="90"/>
    </row>
    <row r="3279" spans="1:1">
      <c r="A3279" s="90"/>
    </row>
    <row r="3280" spans="1:1">
      <c r="A3280" s="90"/>
    </row>
    <row r="3281" spans="1:1">
      <c r="A3281" s="90"/>
    </row>
    <row r="3282" spans="1:1">
      <c r="A3282" s="90"/>
    </row>
    <row r="3283" spans="1:1">
      <c r="A3283" s="90"/>
    </row>
    <row r="3284" spans="1:1">
      <c r="A3284" s="90"/>
    </row>
    <row r="3285" spans="1:1">
      <c r="A3285" s="90"/>
    </row>
    <row r="3286" spans="1:1">
      <c r="A3286" s="90"/>
    </row>
    <row r="3287" spans="1:1">
      <c r="A3287" s="90"/>
    </row>
    <row r="3288" spans="1:1">
      <c r="A3288" s="90"/>
    </row>
    <row r="3289" spans="1:1">
      <c r="A3289" s="90"/>
    </row>
    <row r="3290" spans="1:1">
      <c r="A3290" s="90"/>
    </row>
    <row r="3291" spans="1:1">
      <c r="A3291" s="90"/>
    </row>
    <row r="3292" spans="1:1">
      <c r="A3292" s="90"/>
    </row>
    <row r="3293" spans="1:1">
      <c r="A3293" s="90"/>
    </row>
    <row r="3294" spans="1:1">
      <c r="A3294" s="90"/>
    </row>
    <row r="3295" spans="1:1">
      <c r="A3295" s="90"/>
    </row>
    <row r="3296" spans="1:1">
      <c r="A3296" s="90"/>
    </row>
    <row r="3297" spans="1:1">
      <c r="A3297" s="90"/>
    </row>
    <row r="3298" spans="1:1">
      <c r="A3298" s="90"/>
    </row>
    <row r="3299" spans="1:1">
      <c r="A3299" s="90"/>
    </row>
    <row r="3300" spans="1:1">
      <c r="A3300" s="90"/>
    </row>
    <row r="3301" spans="1:1">
      <c r="A3301" s="90"/>
    </row>
    <row r="3302" spans="1:1">
      <c r="A3302" s="90"/>
    </row>
    <row r="3303" spans="1:1">
      <c r="A3303" s="90"/>
    </row>
    <row r="3304" spans="1:1">
      <c r="A3304" s="90"/>
    </row>
    <row r="3305" spans="1:1">
      <c r="A3305" s="90"/>
    </row>
    <row r="3306" spans="1:1">
      <c r="A3306" s="90"/>
    </row>
    <row r="3307" spans="1:1">
      <c r="A3307" s="90"/>
    </row>
    <row r="3308" spans="1:1">
      <c r="A3308" s="90"/>
    </row>
    <row r="3309" spans="1:1">
      <c r="A3309" s="90"/>
    </row>
    <row r="3310" spans="1:1">
      <c r="A3310" s="90"/>
    </row>
    <row r="3311" spans="1:1">
      <c r="A3311" s="90"/>
    </row>
    <row r="3312" spans="1:1">
      <c r="A3312" s="90"/>
    </row>
    <row r="3313" spans="1:1">
      <c r="A3313" s="90"/>
    </row>
    <row r="3314" spans="1:1">
      <c r="A3314" s="90"/>
    </row>
    <row r="3315" spans="1:1">
      <c r="A3315" s="90"/>
    </row>
    <row r="3316" spans="1:1">
      <c r="A3316" s="90"/>
    </row>
    <row r="3317" spans="1:1">
      <c r="A3317" s="90"/>
    </row>
    <row r="3318" spans="1:1">
      <c r="A3318" s="90"/>
    </row>
    <row r="3319" spans="1:1">
      <c r="A3319" s="90"/>
    </row>
    <row r="3320" spans="1:1">
      <c r="A3320" s="90"/>
    </row>
    <row r="3321" spans="1:1">
      <c r="A3321" s="90"/>
    </row>
    <row r="3322" spans="1:1">
      <c r="A3322" s="90"/>
    </row>
    <row r="3323" spans="1:1">
      <c r="A3323" s="90"/>
    </row>
    <row r="3324" spans="1:1">
      <c r="A3324" s="90"/>
    </row>
    <row r="3325" spans="1:1">
      <c r="A3325" s="90"/>
    </row>
    <row r="3326" spans="1:1">
      <c r="A3326" s="90"/>
    </row>
    <row r="3327" spans="1:1">
      <c r="A3327" s="90"/>
    </row>
    <row r="3328" spans="1:1">
      <c r="A3328" s="90"/>
    </row>
    <row r="3329" spans="1:1">
      <c r="A3329" s="90"/>
    </row>
    <row r="3330" spans="1:1">
      <c r="A3330" s="90"/>
    </row>
    <row r="3331" spans="1:1">
      <c r="A3331" s="90"/>
    </row>
    <row r="3332" spans="1:1">
      <c r="A3332" s="90"/>
    </row>
    <row r="3333" spans="1:1">
      <c r="A3333" s="90"/>
    </row>
    <row r="3334" spans="1:1">
      <c r="A3334" s="90"/>
    </row>
    <row r="3335" spans="1:1">
      <c r="A3335" s="90"/>
    </row>
    <row r="3336" spans="1:1">
      <c r="A3336" s="90"/>
    </row>
    <row r="3337" spans="1:1">
      <c r="A3337" s="90"/>
    </row>
    <row r="3338" spans="1:1">
      <c r="A3338" s="90"/>
    </row>
    <row r="3339" spans="1:1">
      <c r="A3339" s="90"/>
    </row>
    <row r="3340" spans="1:1">
      <c r="A3340" s="90"/>
    </row>
    <row r="3341" spans="1:1">
      <c r="A3341" s="90"/>
    </row>
    <row r="3342" spans="1:1">
      <c r="A3342" s="90"/>
    </row>
    <row r="3343" spans="1:1">
      <c r="A3343" s="90"/>
    </row>
    <row r="3344" spans="1:1">
      <c r="A3344" s="90"/>
    </row>
    <row r="3345" spans="1:1">
      <c r="A3345" s="90"/>
    </row>
    <row r="3346" spans="1:1">
      <c r="A3346" s="90"/>
    </row>
    <row r="3347" spans="1:1">
      <c r="A3347" s="90"/>
    </row>
    <row r="3348" spans="1:1">
      <c r="A3348" s="90"/>
    </row>
    <row r="3349" spans="1:1">
      <c r="A3349" s="90"/>
    </row>
    <row r="3350" spans="1:1">
      <c r="A3350" s="90"/>
    </row>
    <row r="3351" spans="1:1">
      <c r="A3351" s="90"/>
    </row>
    <row r="3352" spans="1:1">
      <c r="A3352" s="90"/>
    </row>
    <row r="3353" spans="1:1">
      <c r="A3353" s="90"/>
    </row>
    <row r="3354" spans="1:1">
      <c r="A3354" s="90"/>
    </row>
    <row r="3355" spans="1:1">
      <c r="A3355" s="90"/>
    </row>
    <row r="3356" spans="1:1">
      <c r="A3356" s="90"/>
    </row>
    <row r="3357" spans="1:1">
      <c r="A3357" s="90"/>
    </row>
    <row r="3358" spans="1:1">
      <c r="A3358" s="90"/>
    </row>
    <row r="3359" spans="1:1">
      <c r="A3359" s="90"/>
    </row>
    <row r="3360" spans="1:1">
      <c r="A3360" s="90"/>
    </row>
    <row r="3361" spans="1:1">
      <c r="A3361" s="90"/>
    </row>
    <row r="3362" spans="1:1">
      <c r="A3362" s="90"/>
    </row>
    <row r="3363" spans="1:1">
      <c r="A3363" s="90"/>
    </row>
    <row r="3364" spans="1:1">
      <c r="A3364" s="90"/>
    </row>
    <row r="3365" spans="1:1">
      <c r="A3365" s="90"/>
    </row>
    <row r="3366" spans="1:1">
      <c r="A3366" s="90"/>
    </row>
    <row r="3367" spans="1:1">
      <c r="A3367" s="90"/>
    </row>
    <row r="3368" spans="1:1">
      <c r="A3368" s="90"/>
    </row>
    <row r="3369" spans="1:1">
      <c r="A3369" s="90"/>
    </row>
    <row r="3370" spans="1:1">
      <c r="A3370" s="90"/>
    </row>
    <row r="3371" spans="1:1">
      <c r="A3371" s="90"/>
    </row>
    <row r="3372" spans="1:1">
      <c r="A3372" s="90"/>
    </row>
    <row r="3373" spans="1:1">
      <c r="A3373" s="90"/>
    </row>
    <row r="3374" spans="1:1">
      <c r="A3374" s="90"/>
    </row>
    <row r="3375" spans="1:1">
      <c r="A3375" s="90"/>
    </row>
    <row r="3376" spans="1:1">
      <c r="A3376" s="90"/>
    </row>
    <row r="3377" spans="1:1">
      <c r="A3377" s="90"/>
    </row>
    <row r="3378" spans="1:1">
      <c r="A3378" s="90"/>
    </row>
    <row r="3379" spans="1:1">
      <c r="A3379" s="90"/>
    </row>
    <row r="3380" spans="1:1">
      <c r="A3380" s="90"/>
    </row>
    <row r="3381" spans="1:1">
      <c r="A3381" s="90"/>
    </row>
    <row r="3382" spans="1:1">
      <c r="A3382" s="90"/>
    </row>
    <row r="3383" spans="1:1">
      <c r="A3383" s="90"/>
    </row>
    <row r="3384" spans="1:1">
      <c r="A3384" s="90"/>
    </row>
    <row r="3385" spans="1:1">
      <c r="A3385" s="90"/>
    </row>
    <row r="3386" spans="1:1">
      <c r="A3386" s="90"/>
    </row>
    <row r="3387" spans="1:1">
      <c r="A3387" s="90"/>
    </row>
    <row r="3388" spans="1:1">
      <c r="A3388" s="90"/>
    </row>
    <row r="3389" spans="1:1">
      <c r="A3389" s="90"/>
    </row>
    <row r="3390" spans="1:1">
      <c r="A3390" s="90"/>
    </row>
    <row r="3391" spans="1:1">
      <c r="A3391" s="90"/>
    </row>
    <row r="3392" spans="1:1">
      <c r="A3392" s="90"/>
    </row>
    <row r="3393" spans="1:1">
      <c r="A3393" s="90"/>
    </row>
    <row r="3394" spans="1:1">
      <c r="A3394" s="90"/>
    </row>
    <row r="3395" spans="1:1">
      <c r="A3395" s="90"/>
    </row>
    <row r="3396" spans="1:1">
      <c r="A3396" s="90"/>
    </row>
    <row r="3397" spans="1:1">
      <c r="A3397" s="90"/>
    </row>
    <row r="3398" spans="1:1">
      <c r="A3398" s="90"/>
    </row>
    <row r="3399" spans="1:1">
      <c r="A3399" s="90"/>
    </row>
    <row r="3400" spans="1:1">
      <c r="A3400" s="90"/>
    </row>
    <row r="3401" spans="1:1">
      <c r="A3401" s="90"/>
    </row>
    <row r="3402" spans="1:1">
      <c r="A3402" s="90"/>
    </row>
    <row r="3403" spans="1:1">
      <c r="A3403" s="90"/>
    </row>
    <row r="3404" spans="1:1">
      <c r="A3404" s="90"/>
    </row>
    <row r="3405" spans="1:1">
      <c r="A3405" s="90"/>
    </row>
    <row r="3406" spans="1:1">
      <c r="A3406" s="90"/>
    </row>
    <row r="3407" spans="1:1">
      <c r="A3407" s="90"/>
    </row>
    <row r="3408" spans="1:1">
      <c r="A3408" s="90"/>
    </row>
    <row r="3409" spans="1:1">
      <c r="A3409" s="90"/>
    </row>
    <row r="3410" spans="1:1">
      <c r="A3410" s="90"/>
    </row>
    <row r="3411" spans="1:1">
      <c r="A3411" s="90"/>
    </row>
    <row r="3412" spans="1:1">
      <c r="A3412" s="90"/>
    </row>
    <row r="3413" spans="1:1">
      <c r="A3413" s="90"/>
    </row>
    <row r="3414" spans="1:1">
      <c r="A3414" s="90"/>
    </row>
    <row r="3415" spans="1:1">
      <c r="A3415" s="90"/>
    </row>
    <row r="3416" spans="1:1">
      <c r="A3416" s="90"/>
    </row>
    <row r="3417" spans="1:1">
      <c r="A3417" s="90"/>
    </row>
    <row r="3418" spans="1:1">
      <c r="A3418" s="90"/>
    </row>
    <row r="3419" spans="1:1">
      <c r="A3419" s="90"/>
    </row>
    <row r="3420" spans="1:1">
      <c r="A3420" s="90"/>
    </row>
    <row r="3421" spans="1:1">
      <c r="A3421" s="90"/>
    </row>
    <row r="3422" spans="1:1">
      <c r="A3422" s="90"/>
    </row>
    <row r="3423" spans="1:1">
      <c r="A3423" s="90"/>
    </row>
    <row r="3424" spans="1:1">
      <c r="A3424" s="90"/>
    </row>
    <row r="3425" spans="1:1">
      <c r="A3425" s="90"/>
    </row>
    <row r="3426" spans="1:1">
      <c r="A3426" s="90"/>
    </row>
    <row r="3427" spans="1:1">
      <c r="A3427" s="90"/>
    </row>
    <row r="3428" spans="1:1">
      <c r="A3428" s="90"/>
    </row>
    <row r="3429" spans="1:1">
      <c r="A3429" s="90"/>
    </row>
    <row r="3430" spans="1:1">
      <c r="A3430" s="90"/>
    </row>
    <row r="3431" spans="1:1">
      <c r="A3431" s="90"/>
    </row>
    <row r="3432" spans="1:1">
      <c r="A3432" s="90"/>
    </row>
    <row r="3433" spans="1:1">
      <c r="A3433" s="90"/>
    </row>
    <row r="3434" spans="1:1">
      <c r="A3434" s="90"/>
    </row>
    <row r="3435" spans="1:1">
      <c r="A3435" s="90"/>
    </row>
    <row r="3436" spans="1:1">
      <c r="A3436" s="90"/>
    </row>
    <row r="3437" spans="1:1">
      <c r="A3437" s="90"/>
    </row>
    <row r="3438" spans="1:1">
      <c r="A3438" s="90"/>
    </row>
    <row r="3439" spans="1:1">
      <c r="A3439" s="90"/>
    </row>
    <row r="3440" spans="1:1">
      <c r="A3440" s="90"/>
    </row>
    <row r="3441" spans="1:1">
      <c r="A3441" s="90"/>
    </row>
    <row r="3442" spans="1:1">
      <c r="A3442" s="90"/>
    </row>
    <row r="3443" spans="1:1">
      <c r="A3443" s="90"/>
    </row>
    <row r="3444" spans="1:1">
      <c r="A3444" s="90"/>
    </row>
    <row r="3445" spans="1:1">
      <c r="A3445" s="90"/>
    </row>
    <row r="3446" spans="1:1">
      <c r="A3446" s="90"/>
    </row>
    <row r="3447" spans="1:1">
      <c r="A3447" s="90"/>
    </row>
    <row r="3448" spans="1:1">
      <c r="A3448" s="90"/>
    </row>
    <row r="3449" spans="1:1">
      <c r="A3449" s="90"/>
    </row>
    <row r="3450" spans="1:1">
      <c r="A3450" s="90"/>
    </row>
    <row r="3451" spans="1:1">
      <c r="A3451" s="90"/>
    </row>
    <row r="3452" spans="1:1">
      <c r="A3452" s="90"/>
    </row>
    <row r="3453" spans="1:1">
      <c r="A3453" s="90"/>
    </row>
    <row r="3454" spans="1:1">
      <c r="A3454" s="90"/>
    </row>
    <row r="3455" spans="1:1">
      <c r="A3455" s="90"/>
    </row>
    <row r="3456" spans="1:1">
      <c r="A3456" s="90"/>
    </row>
    <row r="3457" spans="1:1">
      <c r="A3457" s="90"/>
    </row>
    <row r="3458" spans="1:1">
      <c r="A3458" s="90"/>
    </row>
    <row r="3459" spans="1:1">
      <c r="A3459" s="90"/>
    </row>
    <row r="3460" spans="1:1">
      <c r="A3460" s="90"/>
    </row>
    <row r="3461" spans="1:1">
      <c r="A3461" s="90"/>
    </row>
    <row r="3462" spans="1:1">
      <c r="A3462" s="90"/>
    </row>
    <row r="3463" spans="1:1">
      <c r="A3463" s="90"/>
    </row>
    <row r="3464" spans="1:1">
      <c r="A3464" s="90"/>
    </row>
    <row r="3465" spans="1:1">
      <c r="A3465" s="90"/>
    </row>
    <row r="3466" spans="1:1">
      <c r="A3466" s="90"/>
    </row>
    <row r="3467" spans="1:1">
      <c r="A3467" s="90"/>
    </row>
    <row r="3468" spans="1:1">
      <c r="A3468" s="90"/>
    </row>
    <row r="3469" spans="1:1">
      <c r="A3469" s="90"/>
    </row>
    <row r="3470" spans="1:1">
      <c r="A3470" s="90"/>
    </row>
    <row r="3471" spans="1:1">
      <c r="A3471" s="90"/>
    </row>
    <row r="3472" spans="1:1">
      <c r="A3472" s="90"/>
    </row>
    <row r="3473" spans="1:1">
      <c r="A3473" s="90"/>
    </row>
    <row r="3474" spans="1:1">
      <c r="A3474" s="90"/>
    </row>
    <row r="3475" spans="1:1">
      <c r="A3475" s="90"/>
    </row>
    <row r="3476" spans="1:1">
      <c r="A3476" s="90"/>
    </row>
    <row r="3477" spans="1:1">
      <c r="A3477" s="90"/>
    </row>
    <row r="3478" spans="1:1">
      <c r="A3478" s="90"/>
    </row>
    <row r="3479" spans="1:1">
      <c r="A3479" s="90"/>
    </row>
    <row r="3480" spans="1:1">
      <c r="A3480" s="90"/>
    </row>
    <row r="3481" spans="1:1">
      <c r="A3481" s="90"/>
    </row>
    <row r="3482" spans="1:1">
      <c r="A3482" s="90"/>
    </row>
    <row r="3483" spans="1:1">
      <c r="A3483" s="90"/>
    </row>
    <row r="3484" spans="1:1">
      <c r="A3484" s="90"/>
    </row>
    <row r="3485" spans="1:1">
      <c r="A3485" s="90"/>
    </row>
    <row r="3486" spans="1:1">
      <c r="A3486" s="90"/>
    </row>
    <row r="3487" spans="1:1">
      <c r="A3487" s="90"/>
    </row>
    <row r="3488" spans="1:1">
      <c r="A3488" s="90"/>
    </row>
    <row r="3489" spans="1:1">
      <c r="A3489" s="90"/>
    </row>
    <row r="3490" spans="1:1">
      <c r="A3490" s="90"/>
    </row>
    <row r="3491" spans="1:1">
      <c r="A3491" s="90"/>
    </row>
    <row r="3492" spans="1:1">
      <c r="A3492" s="90"/>
    </row>
    <row r="3493" spans="1:1">
      <c r="A3493" s="90"/>
    </row>
    <row r="3494" spans="1:1">
      <c r="A3494" s="90"/>
    </row>
    <row r="3495" spans="1:1">
      <c r="A3495" s="90"/>
    </row>
    <row r="3496" spans="1:1">
      <c r="A3496" s="90"/>
    </row>
    <row r="3497" spans="1:1">
      <c r="A3497" s="90"/>
    </row>
    <row r="3498" spans="1:1">
      <c r="A3498" s="90"/>
    </row>
    <row r="3499" spans="1:1">
      <c r="A3499" s="90"/>
    </row>
    <row r="3500" spans="1:1">
      <c r="A3500" s="90"/>
    </row>
    <row r="3501" spans="1:1">
      <c r="A3501" s="90"/>
    </row>
    <row r="3502" spans="1:1">
      <c r="A3502" s="90"/>
    </row>
    <row r="3503" spans="1:1">
      <c r="A3503" s="90"/>
    </row>
    <row r="3504" spans="1:1">
      <c r="A3504" s="90"/>
    </row>
    <row r="3505" spans="1:1">
      <c r="A3505" s="90"/>
    </row>
    <row r="3506" spans="1:1">
      <c r="A3506" s="90"/>
    </row>
    <row r="3507" spans="1:1">
      <c r="A3507" s="90"/>
    </row>
    <row r="3508" spans="1:1">
      <c r="A3508" s="90"/>
    </row>
    <row r="3509" spans="1:1">
      <c r="A3509" s="90"/>
    </row>
    <row r="3510" spans="1:1">
      <c r="A3510" s="90"/>
    </row>
    <row r="3511" spans="1:1">
      <c r="A3511" s="90"/>
    </row>
    <row r="3512" spans="1:1">
      <c r="A3512" s="90"/>
    </row>
    <row r="3513" spans="1:1">
      <c r="A3513" s="90"/>
    </row>
    <row r="3514" spans="1:1">
      <c r="A3514" s="90"/>
    </row>
    <row r="3515" spans="1:1">
      <c r="A3515" s="90"/>
    </row>
    <row r="3516" spans="1:1">
      <c r="A3516" s="90"/>
    </row>
    <row r="3517" spans="1:1">
      <c r="A3517" s="90"/>
    </row>
    <row r="3518" spans="1:1">
      <c r="A3518" s="90"/>
    </row>
    <row r="3519" spans="1:1">
      <c r="A3519" s="90"/>
    </row>
    <row r="3520" spans="1:1">
      <c r="A3520" s="90"/>
    </row>
    <row r="3521" spans="1:1">
      <c r="A3521" s="90"/>
    </row>
    <row r="3522" spans="1:1">
      <c r="A3522" s="90"/>
    </row>
    <row r="3523" spans="1:1">
      <c r="A3523" s="90"/>
    </row>
    <row r="3524" spans="1:1">
      <c r="A3524" s="90"/>
    </row>
    <row r="3525" spans="1:1">
      <c r="A3525" s="90"/>
    </row>
    <row r="3526" spans="1:1">
      <c r="A3526" s="90"/>
    </row>
    <row r="3527" spans="1:1">
      <c r="A3527" s="90"/>
    </row>
    <row r="3528" spans="1:1">
      <c r="A3528" s="90"/>
    </row>
    <row r="3529" spans="1:1">
      <c r="A3529" s="90"/>
    </row>
    <row r="3530" spans="1:1">
      <c r="A3530" s="90"/>
    </row>
    <row r="3531" spans="1:1">
      <c r="A3531" s="90"/>
    </row>
    <row r="3532" spans="1:1">
      <c r="A3532" s="90"/>
    </row>
    <row r="3533" spans="1:1">
      <c r="A3533" s="90"/>
    </row>
    <row r="3534" spans="1:1">
      <c r="A3534" s="90"/>
    </row>
    <row r="3535" spans="1:1">
      <c r="A3535" s="90"/>
    </row>
    <row r="3536" spans="1:1">
      <c r="A3536" s="90"/>
    </row>
    <row r="3537" spans="1:1">
      <c r="A3537" s="90"/>
    </row>
    <row r="3538" spans="1:1">
      <c r="A3538" s="90"/>
    </row>
    <row r="3539" spans="1:1">
      <c r="A3539" s="90"/>
    </row>
    <row r="3540" spans="1:1">
      <c r="A3540" s="90"/>
    </row>
    <row r="3541" spans="1:1">
      <c r="A3541" s="90"/>
    </row>
    <row r="3542" spans="1:1">
      <c r="A3542" s="90"/>
    </row>
    <row r="3543" spans="1:1">
      <c r="A3543" s="90"/>
    </row>
    <row r="3544" spans="1:1">
      <c r="A3544" s="90"/>
    </row>
    <row r="3545" spans="1:1">
      <c r="A3545" s="90"/>
    </row>
    <row r="3546" spans="1:1">
      <c r="A3546" s="90"/>
    </row>
    <row r="3547" spans="1:1">
      <c r="A3547" s="90"/>
    </row>
    <row r="3548" spans="1:1">
      <c r="A3548" s="90"/>
    </row>
    <row r="3549" spans="1:1">
      <c r="A3549" s="90"/>
    </row>
    <row r="3550" spans="1:1">
      <c r="A3550" s="90"/>
    </row>
    <row r="3551" spans="1:1">
      <c r="A3551" s="90"/>
    </row>
    <row r="3552" spans="1:1">
      <c r="A3552" s="90"/>
    </row>
    <row r="3553" spans="1:1">
      <c r="A3553" s="90"/>
    </row>
    <row r="3554" spans="1:1">
      <c r="A3554" s="90"/>
    </row>
    <row r="3555" spans="1:1">
      <c r="A3555" s="90"/>
    </row>
    <row r="3556" spans="1:1">
      <c r="A3556" s="90"/>
    </row>
    <row r="3557" spans="1:1">
      <c r="A3557" s="90"/>
    </row>
    <row r="3558" spans="1:1">
      <c r="A3558" s="90"/>
    </row>
    <row r="3559" spans="1:1">
      <c r="A3559" s="90"/>
    </row>
    <row r="3560" spans="1:1">
      <c r="A3560" s="90"/>
    </row>
    <row r="3561" spans="1:1">
      <c r="A3561" s="90"/>
    </row>
    <row r="3562" spans="1:1">
      <c r="A3562" s="90"/>
    </row>
    <row r="3563" spans="1:1">
      <c r="A3563" s="90"/>
    </row>
    <row r="3564" spans="1:1">
      <c r="A3564" s="90"/>
    </row>
    <row r="3565" spans="1:1">
      <c r="A3565" s="90"/>
    </row>
    <row r="3566" spans="1:1">
      <c r="A3566" s="90"/>
    </row>
    <row r="3567" spans="1:1">
      <c r="A3567" s="90"/>
    </row>
    <row r="3568" spans="1:1">
      <c r="A3568" s="90"/>
    </row>
    <row r="3569" spans="1:1">
      <c r="A3569" s="90"/>
    </row>
    <row r="3570" spans="1:1">
      <c r="A3570" s="90"/>
    </row>
    <row r="3571" spans="1:1">
      <c r="A3571" s="90"/>
    </row>
    <row r="3572" spans="1:1">
      <c r="A3572" s="90"/>
    </row>
    <row r="3573" spans="1:1">
      <c r="A3573" s="90"/>
    </row>
    <row r="3574" spans="1:1">
      <c r="A3574" s="90"/>
    </row>
    <row r="3575" spans="1:1">
      <c r="A3575" s="90"/>
    </row>
    <row r="3576" spans="1:1">
      <c r="A3576" s="90"/>
    </row>
    <row r="3577" spans="1:1">
      <c r="A3577" s="90"/>
    </row>
    <row r="3578" spans="1:1">
      <c r="A3578" s="90"/>
    </row>
    <row r="3579" spans="1:1">
      <c r="A3579" s="90"/>
    </row>
    <row r="3580" spans="1:1">
      <c r="A3580" s="90"/>
    </row>
    <row r="3581" spans="1:1">
      <c r="A3581" s="90"/>
    </row>
    <row r="3582" spans="1:1">
      <c r="A3582" s="90"/>
    </row>
    <row r="3583" spans="1:1">
      <c r="A3583" s="90"/>
    </row>
    <row r="3584" spans="1:1">
      <c r="A3584" s="90"/>
    </row>
    <row r="3585" spans="1:1">
      <c r="A3585" s="90"/>
    </row>
    <row r="3586" spans="1:1">
      <c r="A3586" s="90"/>
    </row>
    <row r="3587" spans="1:1">
      <c r="A3587" s="90"/>
    </row>
    <row r="3588" spans="1:1">
      <c r="A3588" s="90"/>
    </row>
    <row r="3589" spans="1:1">
      <c r="A3589" s="90"/>
    </row>
    <row r="3590" spans="1:1">
      <c r="A3590" s="90"/>
    </row>
    <row r="3591" spans="1:1">
      <c r="A3591" s="90"/>
    </row>
    <row r="3592" spans="1:1">
      <c r="A3592" s="90"/>
    </row>
    <row r="3593" spans="1:1">
      <c r="A3593" s="90"/>
    </row>
    <row r="3594" spans="1:1">
      <c r="A3594" s="90"/>
    </row>
    <row r="3595" spans="1:1">
      <c r="A3595" s="90"/>
    </row>
    <row r="3596" spans="1:1">
      <c r="A3596" s="90"/>
    </row>
    <row r="3597" spans="1:1">
      <c r="A3597" s="90"/>
    </row>
    <row r="3598" spans="1:1">
      <c r="A3598" s="90"/>
    </row>
    <row r="3599" spans="1:1">
      <c r="A3599" s="90"/>
    </row>
    <row r="3600" spans="1:1">
      <c r="A3600" s="90"/>
    </row>
    <row r="3601" spans="1:1">
      <c r="A3601" s="90"/>
    </row>
    <row r="3602" spans="1:1">
      <c r="A3602" s="90"/>
    </row>
    <row r="3603" spans="1:1">
      <c r="A3603" s="90"/>
    </row>
    <row r="3604" spans="1:1">
      <c r="A3604" s="90"/>
    </row>
    <row r="3605" spans="1:1">
      <c r="A3605" s="90"/>
    </row>
    <row r="3606" spans="1:1">
      <c r="A3606" s="90"/>
    </row>
    <row r="3607" spans="1:1">
      <c r="A3607" s="90"/>
    </row>
    <row r="3608" spans="1:1">
      <c r="A3608" s="90"/>
    </row>
    <row r="3609" spans="1:1">
      <c r="A3609" s="90"/>
    </row>
    <row r="3610" spans="1:1">
      <c r="A3610" s="90"/>
    </row>
    <row r="3611" spans="1:1">
      <c r="A3611" s="90"/>
    </row>
    <row r="3612" spans="1:1">
      <c r="A3612" s="90"/>
    </row>
    <row r="3613" spans="1:1">
      <c r="A3613" s="90"/>
    </row>
    <row r="3614" spans="1:1">
      <c r="A3614" s="90"/>
    </row>
    <row r="3615" spans="1:1">
      <c r="A3615" s="90"/>
    </row>
    <row r="3616" spans="1:1">
      <c r="A3616" s="90"/>
    </row>
    <row r="3617" spans="1:1">
      <c r="A3617" s="90"/>
    </row>
    <row r="3618" spans="1:1">
      <c r="A3618" s="90"/>
    </row>
    <row r="3619" spans="1:1">
      <c r="A3619" s="90"/>
    </row>
    <row r="3620" spans="1:1">
      <c r="A3620" s="90"/>
    </row>
    <row r="3621" spans="1:1">
      <c r="A3621" s="90"/>
    </row>
    <row r="3622" spans="1:1">
      <c r="A3622" s="90"/>
    </row>
    <row r="3623" spans="1:1">
      <c r="A3623" s="90"/>
    </row>
    <row r="3624" spans="1:1">
      <c r="A3624" s="90"/>
    </row>
    <row r="3625" spans="1:1">
      <c r="A3625" s="90"/>
    </row>
    <row r="3626" spans="1:1">
      <c r="A3626" s="90"/>
    </row>
    <row r="3627" spans="1:1">
      <c r="A3627" s="90"/>
    </row>
    <row r="3628" spans="1:1">
      <c r="A3628" s="90"/>
    </row>
    <row r="3629" spans="1:1">
      <c r="A3629" s="90"/>
    </row>
    <row r="3630" spans="1:1">
      <c r="A3630" s="90"/>
    </row>
    <row r="3631" spans="1:1">
      <c r="A3631" s="90"/>
    </row>
    <row r="3632" spans="1:1">
      <c r="A3632" s="90"/>
    </row>
    <row r="3633" spans="1:1">
      <c r="A3633" s="90"/>
    </row>
    <row r="3634" spans="1:1">
      <c r="A3634" s="90"/>
    </row>
    <row r="3635" spans="1:1">
      <c r="A3635" s="90"/>
    </row>
    <row r="3636" spans="1:1">
      <c r="A3636" s="90"/>
    </row>
    <row r="3637" spans="1:1">
      <c r="A3637" s="90"/>
    </row>
    <row r="3638" spans="1:1">
      <c r="A3638" s="90"/>
    </row>
    <row r="3639" spans="1:1">
      <c r="A3639" s="90"/>
    </row>
    <row r="3640" spans="1:1">
      <c r="A3640" s="90"/>
    </row>
    <row r="3641" spans="1:1">
      <c r="A3641" s="90"/>
    </row>
    <row r="3642" spans="1:1">
      <c r="A3642" s="90"/>
    </row>
    <row r="3643" spans="1:1">
      <c r="A3643" s="90"/>
    </row>
    <row r="3644" spans="1:1">
      <c r="A3644" s="90"/>
    </row>
    <row r="3645" spans="1:1">
      <c r="A3645" s="90"/>
    </row>
    <row r="3646" spans="1:1">
      <c r="A3646" s="90"/>
    </row>
    <row r="3647" spans="1:1">
      <c r="A3647" s="90"/>
    </row>
    <row r="3648" spans="1:1">
      <c r="A3648" s="90"/>
    </row>
    <row r="3649" spans="1:1">
      <c r="A3649" s="90"/>
    </row>
    <row r="3650" spans="1:1">
      <c r="A3650" s="90"/>
    </row>
    <row r="3651" spans="1:1">
      <c r="A3651" s="90"/>
    </row>
    <row r="3652" spans="1:1">
      <c r="A3652" s="90"/>
    </row>
    <row r="3653" spans="1:1">
      <c r="A3653" s="90"/>
    </row>
    <row r="3654" spans="1:1">
      <c r="A3654" s="90"/>
    </row>
    <row r="3655" spans="1:1">
      <c r="A3655" s="90"/>
    </row>
    <row r="3656" spans="1:1">
      <c r="A3656" s="90"/>
    </row>
    <row r="3657" spans="1:1">
      <c r="A3657" s="90"/>
    </row>
    <row r="3658" spans="1:1">
      <c r="A3658" s="90"/>
    </row>
    <row r="3659" spans="1:1">
      <c r="A3659" s="90"/>
    </row>
    <row r="3660" spans="1:1">
      <c r="A3660" s="90"/>
    </row>
    <row r="3661" spans="1:1">
      <c r="A3661" s="90"/>
    </row>
    <row r="3662" spans="1:1">
      <c r="A3662" s="90"/>
    </row>
    <row r="3663" spans="1:1">
      <c r="A3663" s="90"/>
    </row>
    <row r="3664" spans="1:1">
      <c r="A3664" s="90"/>
    </row>
    <row r="3665" spans="1:1">
      <c r="A3665" s="90"/>
    </row>
    <row r="3666" spans="1:1">
      <c r="A3666" s="90"/>
    </row>
    <row r="3667" spans="1:1">
      <c r="A3667" s="90"/>
    </row>
    <row r="3668" spans="1:1">
      <c r="A3668" s="90"/>
    </row>
    <row r="3669" spans="1:1">
      <c r="A3669" s="90"/>
    </row>
    <row r="3670" spans="1:1">
      <c r="A3670" s="90"/>
    </row>
    <row r="3671" spans="1:1">
      <c r="A3671" s="90"/>
    </row>
    <row r="3672" spans="1:1">
      <c r="A3672" s="90"/>
    </row>
    <row r="3673" spans="1:1">
      <c r="A3673" s="90"/>
    </row>
    <row r="3674" spans="1:1">
      <c r="A3674" s="90"/>
    </row>
    <row r="3675" spans="1:1">
      <c r="A3675" s="90"/>
    </row>
    <row r="3676" spans="1:1">
      <c r="A3676" s="90"/>
    </row>
    <row r="3677" spans="1:1">
      <c r="A3677" s="90"/>
    </row>
    <row r="3678" spans="1:1">
      <c r="A3678" s="90"/>
    </row>
    <row r="3679" spans="1:1">
      <c r="A3679" s="90"/>
    </row>
    <row r="3680" spans="1:1">
      <c r="A3680" s="90"/>
    </row>
    <row r="3681" spans="1:1">
      <c r="A3681" s="90"/>
    </row>
    <row r="3682" spans="1:1">
      <c r="A3682" s="90"/>
    </row>
    <row r="3683" spans="1:1">
      <c r="A3683" s="90"/>
    </row>
    <row r="3684" spans="1:1">
      <c r="A3684" s="90"/>
    </row>
    <row r="3685" spans="1:1">
      <c r="A3685" s="90"/>
    </row>
    <row r="3686" spans="1:1">
      <c r="A3686" s="90"/>
    </row>
    <row r="3687" spans="1:1">
      <c r="A3687" s="90"/>
    </row>
    <row r="3688" spans="1:1">
      <c r="A3688" s="90"/>
    </row>
    <row r="3689" spans="1:1">
      <c r="A3689" s="90"/>
    </row>
    <row r="3690" spans="1:1">
      <c r="A3690" s="90"/>
    </row>
    <row r="3691" spans="1:1">
      <c r="A3691" s="90"/>
    </row>
    <row r="3692" spans="1:1">
      <c r="A3692" s="90"/>
    </row>
    <row r="3693" spans="1:1">
      <c r="A3693" s="90"/>
    </row>
    <row r="3694" spans="1:1">
      <c r="A3694" s="90"/>
    </row>
    <row r="3695" spans="1:1">
      <c r="A3695" s="90"/>
    </row>
    <row r="3696" spans="1:1">
      <c r="A3696" s="90"/>
    </row>
    <row r="3697" spans="1:1">
      <c r="A3697" s="90"/>
    </row>
    <row r="3698" spans="1:1">
      <c r="A3698" s="90"/>
    </row>
    <row r="3699" spans="1:1">
      <c r="A3699" s="90"/>
    </row>
    <row r="3700" spans="1:1">
      <c r="A3700" s="90"/>
    </row>
    <row r="3701" spans="1:1">
      <c r="A3701" s="90"/>
    </row>
    <row r="3702" spans="1:1">
      <c r="A3702" s="90"/>
    </row>
    <row r="3703" spans="1:1">
      <c r="A3703" s="90"/>
    </row>
    <row r="3704" spans="1:1">
      <c r="A3704" s="90"/>
    </row>
    <row r="3705" spans="1:1">
      <c r="A3705" s="90"/>
    </row>
    <row r="3706" spans="1:1">
      <c r="A3706" s="90"/>
    </row>
    <row r="3707" spans="1:1">
      <c r="A3707" s="90"/>
    </row>
    <row r="3708" spans="1:1">
      <c r="A3708" s="90"/>
    </row>
    <row r="3709" spans="1:1">
      <c r="A3709" s="90"/>
    </row>
    <row r="3710" spans="1:1">
      <c r="A3710" s="90"/>
    </row>
    <row r="3711" spans="1:1">
      <c r="A3711" s="90"/>
    </row>
    <row r="3712" spans="1:1">
      <c r="A3712" s="90"/>
    </row>
    <row r="3713" spans="1:1">
      <c r="A3713" s="90"/>
    </row>
    <row r="3714" spans="1:1">
      <c r="A3714" s="90"/>
    </row>
    <row r="3715" spans="1:1">
      <c r="A3715" s="90"/>
    </row>
    <row r="3716" spans="1:1">
      <c r="A3716" s="90"/>
    </row>
    <row r="3717" spans="1:1">
      <c r="A3717" s="90"/>
    </row>
    <row r="3718" spans="1:1">
      <c r="A3718" s="90"/>
    </row>
    <row r="3719" spans="1:1">
      <c r="A3719" s="90"/>
    </row>
    <row r="3720" spans="1:1">
      <c r="A3720" s="90"/>
    </row>
    <row r="3721" spans="1:1">
      <c r="A3721" s="90"/>
    </row>
    <row r="3722" spans="1:1">
      <c r="A3722" s="90"/>
    </row>
    <row r="3723" spans="1:1">
      <c r="A3723" s="90"/>
    </row>
    <row r="3724" spans="1:1">
      <c r="A3724" s="90"/>
    </row>
    <row r="3725" spans="1:1">
      <c r="A3725" s="90"/>
    </row>
    <row r="3726" spans="1:1">
      <c r="A3726" s="90"/>
    </row>
    <row r="3727" spans="1:1">
      <c r="A3727" s="90"/>
    </row>
    <row r="3728" spans="1:1">
      <c r="A3728" s="90"/>
    </row>
    <row r="3729" spans="1:1">
      <c r="A3729" s="90"/>
    </row>
    <row r="3730" spans="1:1">
      <c r="A3730" s="90"/>
    </row>
    <row r="3731" spans="1:1">
      <c r="A3731" s="90"/>
    </row>
    <row r="3732" spans="1:1">
      <c r="A3732" s="90"/>
    </row>
    <row r="3733" spans="1:1">
      <c r="A3733" s="90"/>
    </row>
    <row r="3734" spans="1:1">
      <c r="A3734" s="90"/>
    </row>
    <row r="3735" spans="1:1">
      <c r="A3735" s="90"/>
    </row>
    <row r="3736" spans="1:1">
      <c r="A3736" s="90"/>
    </row>
    <row r="3737" spans="1:1">
      <c r="A3737" s="90"/>
    </row>
    <row r="3738" spans="1:1">
      <c r="A3738" s="90"/>
    </row>
    <row r="3739" spans="1:1">
      <c r="A3739" s="90"/>
    </row>
    <row r="3740" spans="1:1">
      <c r="A3740" s="90"/>
    </row>
    <row r="3741" spans="1:1">
      <c r="A3741" s="90"/>
    </row>
    <row r="3742" spans="1:1">
      <c r="A3742" s="90"/>
    </row>
    <row r="3743" spans="1:1">
      <c r="A3743" s="90"/>
    </row>
    <row r="3744" spans="1:1">
      <c r="A3744" s="90"/>
    </row>
    <row r="3745" spans="1:1">
      <c r="A3745" s="90"/>
    </row>
    <row r="3746" spans="1:1">
      <c r="A3746" s="90"/>
    </row>
    <row r="3747" spans="1:1">
      <c r="A3747" s="90"/>
    </row>
    <row r="3748" spans="1:1">
      <c r="A3748" s="90"/>
    </row>
    <row r="3749" spans="1:1">
      <c r="A3749" s="90"/>
    </row>
    <row r="3750" spans="1:1">
      <c r="A3750" s="90"/>
    </row>
    <row r="3751" spans="1:1">
      <c r="A3751" s="90"/>
    </row>
    <row r="3752" spans="1:1">
      <c r="A3752" s="90"/>
    </row>
    <row r="3753" spans="1:1">
      <c r="A3753" s="90"/>
    </row>
    <row r="3754" spans="1:1">
      <c r="A3754" s="90"/>
    </row>
    <row r="3755" spans="1:1">
      <c r="A3755" s="90"/>
    </row>
    <row r="3756" spans="1:1">
      <c r="A3756" s="90"/>
    </row>
    <row r="3757" spans="1:1">
      <c r="A3757" s="90"/>
    </row>
    <row r="3758" spans="1:1">
      <c r="A3758" s="90"/>
    </row>
    <row r="3759" spans="1:1">
      <c r="A3759" s="90"/>
    </row>
    <row r="3760" spans="1:1">
      <c r="A3760" s="90"/>
    </row>
    <row r="3761" spans="1:1">
      <c r="A3761" s="90"/>
    </row>
    <row r="3762" spans="1:1">
      <c r="A3762" s="90"/>
    </row>
    <row r="3763" spans="1:1">
      <c r="A3763" s="90"/>
    </row>
    <row r="3764" spans="1:1">
      <c r="A3764" s="90"/>
    </row>
    <row r="3765" spans="1:1">
      <c r="A3765" s="90"/>
    </row>
    <row r="3766" spans="1:1">
      <c r="A3766" s="90"/>
    </row>
    <row r="3767" spans="1:1">
      <c r="A3767" s="90"/>
    </row>
    <row r="3768" spans="1:1">
      <c r="A3768" s="90"/>
    </row>
    <row r="3769" spans="1:1">
      <c r="A3769" s="90"/>
    </row>
    <row r="3770" spans="1:1">
      <c r="A3770" s="90"/>
    </row>
    <row r="3771" spans="1:1">
      <c r="A3771" s="90"/>
    </row>
    <row r="3772" spans="1:1">
      <c r="A3772" s="90"/>
    </row>
    <row r="3773" spans="1:1">
      <c r="A3773" s="90"/>
    </row>
    <row r="3774" spans="1:1">
      <c r="A3774" s="90"/>
    </row>
    <row r="3775" spans="1:1">
      <c r="A3775" s="90"/>
    </row>
    <row r="3776" spans="1:1">
      <c r="A3776" s="90"/>
    </row>
    <row r="3777" spans="1:1">
      <c r="A3777" s="90"/>
    </row>
    <row r="3778" spans="1:1">
      <c r="A3778" s="90"/>
    </row>
    <row r="3779" spans="1:1">
      <c r="A3779" s="90"/>
    </row>
    <row r="3780" spans="1:1">
      <c r="A3780" s="90"/>
    </row>
    <row r="3781" spans="1:1">
      <c r="A3781" s="90"/>
    </row>
    <row r="3782" spans="1:1">
      <c r="A3782" s="90"/>
    </row>
    <row r="3783" spans="1:1">
      <c r="A3783" s="90"/>
    </row>
    <row r="3784" spans="1:1">
      <c r="A3784" s="90"/>
    </row>
    <row r="3785" spans="1:1">
      <c r="A3785" s="90"/>
    </row>
    <row r="3786" spans="1:1">
      <c r="A3786" s="90"/>
    </row>
    <row r="3787" spans="1:1">
      <c r="A3787" s="90"/>
    </row>
    <row r="3788" spans="1:1">
      <c r="A3788" s="90"/>
    </row>
    <row r="3789" spans="1:1">
      <c r="A3789" s="90"/>
    </row>
    <row r="3790" spans="1:1">
      <c r="A3790" s="90"/>
    </row>
    <row r="3791" spans="1:1">
      <c r="A3791" s="90"/>
    </row>
    <row r="3792" spans="1:1">
      <c r="A3792" s="90"/>
    </row>
    <row r="3793" spans="1:1">
      <c r="A3793" s="90"/>
    </row>
    <row r="3794" spans="1:1">
      <c r="A3794" s="90"/>
    </row>
    <row r="3795" spans="1:1">
      <c r="A3795" s="90"/>
    </row>
    <row r="3796" spans="1:1">
      <c r="A3796" s="90"/>
    </row>
    <row r="3797" spans="1:1">
      <c r="A3797" s="90"/>
    </row>
    <row r="3798" spans="1:1">
      <c r="A3798" s="90"/>
    </row>
    <row r="3799" spans="1:1">
      <c r="A3799" s="90"/>
    </row>
    <row r="3800" spans="1:1">
      <c r="A3800" s="90"/>
    </row>
    <row r="3801" spans="1:1">
      <c r="A3801" s="90"/>
    </row>
    <row r="3802" spans="1:1">
      <c r="A3802" s="90"/>
    </row>
    <row r="3803" spans="1:1">
      <c r="A3803" s="90"/>
    </row>
    <row r="3804" spans="1:1">
      <c r="A3804" s="90"/>
    </row>
    <row r="3805" spans="1:1">
      <c r="A3805" s="90"/>
    </row>
    <row r="3806" spans="1:1">
      <c r="A3806" s="90"/>
    </row>
    <row r="3807" spans="1:1">
      <c r="A3807" s="90"/>
    </row>
    <row r="3808" spans="1:1">
      <c r="A3808" s="90"/>
    </row>
    <row r="3809" spans="1:1">
      <c r="A3809" s="90"/>
    </row>
    <row r="3810" spans="1:1">
      <c r="A3810" s="90"/>
    </row>
    <row r="3811" spans="1:1">
      <c r="A3811" s="90"/>
    </row>
    <row r="3812" spans="1:1">
      <c r="A3812" s="90"/>
    </row>
    <row r="3813" spans="1:1">
      <c r="A3813" s="90"/>
    </row>
    <row r="3814" spans="1:1">
      <c r="A3814" s="90"/>
    </row>
    <row r="3815" spans="1:1">
      <c r="A3815" s="90"/>
    </row>
    <row r="3816" spans="1:1">
      <c r="A3816" s="90"/>
    </row>
    <row r="3817" spans="1:1">
      <c r="A3817" s="90"/>
    </row>
    <row r="3818" spans="1:1">
      <c r="A3818" s="90"/>
    </row>
    <row r="3819" spans="1:1">
      <c r="A3819" s="90"/>
    </row>
    <row r="3820" spans="1:1">
      <c r="A3820" s="90"/>
    </row>
    <row r="3821" spans="1:1">
      <c r="A3821" s="90"/>
    </row>
    <row r="3822" spans="1:1">
      <c r="A3822" s="90"/>
    </row>
    <row r="3823" spans="1:1">
      <c r="A3823" s="90"/>
    </row>
    <row r="3824" spans="1:1">
      <c r="A3824" s="90"/>
    </row>
    <row r="3825" spans="1:1">
      <c r="A3825" s="90"/>
    </row>
    <row r="3826" spans="1:1">
      <c r="A3826" s="90"/>
    </row>
    <row r="3827" spans="1:1">
      <c r="A3827" s="90"/>
    </row>
    <row r="3828" spans="1:1">
      <c r="A3828" s="90"/>
    </row>
    <row r="3829" spans="1:1">
      <c r="A3829" s="90"/>
    </row>
    <row r="3830" spans="1:1">
      <c r="A3830" s="90"/>
    </row>
    <row r="3831" spans="1:1">
      <c r="A3831" s="90"/>
    </row>
    <row r="3832" spans="1:1">
      <c r="A3832" s="90"/>
    </row>
    <row r="3833" spans="1:1">
      <c r="A3833" s="90"/>
    </row>
    <row r="3834" spans="1:1">
      <c r="A3834" s="90"/>
    </row>
    <row r="3835" spans="1:1">
      <c r="A3835" s="90"/>
    </row>
    <row r="3836" spans="1:1">
      <c r="A3836" s="90"/>
    </row>
    <row r="3837" spans="1:1">
      <c r="A3837" s="90"/>
    </row>
    <row r="3838" spans="1:1">
      <c r="A3838" s="90"/>
    </row>
    <row r="3839" spans="1:1">
      <c r="A3839" s="90"/>
    </row>
    <row r="3840" spans="1:1">
      <c r="A3840" s="90"/>
    </row>
    <row r="3841" spans="1:1">
      <c r="A3841" s="90"/>
    </row>
    <row r="3842" spans="1:1">
      <c r="A3842" s="90"/>
    </row>
    <row r="3843" spans="1:1">
      <c r="A3843" s="90"/>
    </row>
    <row r="3844" spans="1:1">
      <c r="A3844" s="90"/>
    </row>
    <row r="3845" spans="1:1">
      <c r="A3845" s="90"/>
    </row>
    <row r="3846" spans="1:1">
      <c r="A3846" s="90"/>
    </row>
    <row r="3847" spans="1:1">
      <c r="A3847" s="90"/>
    </row>
    <row r="3848" spans="1:1">
      <c r="A3848" s="90"/>
    </row>
    <row r="3849" spans="1:1">
      <c r="A3849" s="90"/>
    </row>
    <row r="3850" spans="1:1">
      <c r="A3850" s="90"/>
    </row>
    <row r="3851" spans="1:1">
      <c r="A3851" s="90"/>
    </row>
    <row r="3852" spans="1:1">
      <c r="A3852" s="90"/>
    </row>
    <row r="3853" spans="1:1">
      <c r="A3853" s="90"/>
    </row>
    <row r="3854" spans="1:1">
      <c r="A3854" s="90"/>
    </row>
    <row r="3855" spans="1:1">
      <c r="A3855" s="90"/>
    </row>
    <row r="3856" spans="1:1">
      <c r="A3856" s="90"/>
    </row>
    <row r="3857" spans="1:1">
      <c r="A3857" s="90"/>
    </row>
    <row r="3858" spans="1:1">
      <c r="A3858" s="90"/>
    </row>
    <row r="3859" spans="1:1">
      <c r="A3859" s="90"/>
    </row>
    <row r="3860" spans="1:1">
      <c r="A3860" s="90"/>
    </row>
    <row r="3861" spans="1:1">
      <c r="A3861" s="90"/>
    </row>
    <row r="3862" spans="1:1">
      <c r="A3862" s="90"/>
    </row>
    <row r="3863" spans="1:1">
      <c r="A3863" s="90"/>
    </row>
    <row r="3864" spans="1:1">
      <c r="A3864" s="90"/>
    </row>
    <row r="3865" spans="1:1">
      <c r="A3865" s="90"/>
    </row>
    <row r="3866" spans="1:1">
      <c r="A3866" s="90"/>
    </row>
    <row r="3867" spans="1:1">
      <c r="A3867" s="90"/>
    </row>
    <row r="3868" spans="1:1">
      <c r="A3868" s="90"/>
    </row>
    <row r="3869" spans="1:1">
      <c r="A3869" s="90"/>
    </row>
    <row r="3870" spans="1:1">
      <c r="A3870" s="90"/>
    </row>
    <row r="3871" spans="1:1">
      <c r="A3871" s="90"/>
    </row>
    <row r="3872" spans="1:1">
      <c r="A3872" s="90"/>
    </row>
    <row r="3873" spans="1:1">
      <c r="A3873" s="90"/>
    </row>
    <row r="3874" spans="1:1">
      <c r="A3874" s="90"/>
    </row>
    <row r="3875" spans="1:1">
      <c r="A3875" s="90"/>
    </row>
    <row r="3876" spans="1:1">
      <c r="A3876" s="90"/>
    </row>
    <row r="3877" spans="1:1">
      <c r="A3877" s="90"/>
    </row>
    <row r="3878" spans="1:1">
      <c r="A3878" s="90"/>
    </row>
    <row r="3879" spans="1:1">
      <c r="A3879" s="90"/>
    </row>
    <row r="3880" spans="1:1">
      <c r="A3880" s="90"/>
    </row>
    <row r="3881" spans="1:1">
      <c r="A3881" s="90"/>
    </row>
    <row r="3882" spans="1:1">
      <c r="A3882" s="90"/>
    </row>
    <row r="3883" spans="1:1">
      <c r="A3883" s="90"/>
    </row>
    <row r="3884" spans="1:1">
      <c r="A3884" s="90"/>
    </row>
    <row r="3885" spans="1:1">
      <c r="A3885" s="90"/>
    </row>
    <row r="3886" spans="1:1">
      <c r="A3886" s="90"/>
    </row>
    <row r="3887" spans="1:1">
      <c r="A3887" s="90"/>
    </row>
    <row r="3888" spans="1:1">
      <c r="A3888" s="90"/>
    </row>
    <row r="3889" spans="1:1">
      <c r="A3889" s="90"/>
    </row>
    <row r="3890" spans="1:1">
      <c r="A3890" s="90"/>
    </row>
    <row r="3891" spans="1:1">
      <c r="A3891" s="90"/>
    </row>
    <row r="3892" spans="1:1">
      <c r="A3892" s="90"/>
    </row>
    <row r="3893" spans="1:1">
      <c r="A3893" s="90"/>
    </row>
    <row r="3894" spans="1:1">
      <c r="A3894" s="90"/>
    </row>
    <row r="3895" spans="1:1">
      <c r="A3895" s="90"/>
    </row>
    <row r="3896" spans="1:1">
      <c r="A3896" s="90"/>
    </row>
    <row r="3897" spans="1:1">
      <c r="A3897" s="90"/>
    </row>
    <row r="3898" spans="1:1">
      <c r="A3898" s="90"/>
    </row>
    <row r="3899" spans="1:1">
      <c r="A3899" s="90"/>
    </row>
    <row r="3900" spans="1:1">
      <c r="A3900" s="90"/>
    </row>
    <row r="3901" spans="1:1">
      <c r="A3901" s="90"/>
    </row>
    <row r="3902" spans="1:1">
      <c r="A3902" s="90"/>
    </row>
    <row r="3903" spans="1:1">
      <c r="A3903" s="90"/>
    </row>
    <row r="3904" spans="1:1">
      <c r="A3904" s="90"/>
    </row>
    <row r="3905" spans="1:1">
      <c r="A3905" s="90"/>
    </row>
    <row r="3906" spans="1:1">
      <c r="A3906" s="90"/>
    </row>
    <row r="3907" spans="1:1">
      <c r="A3907" s="90"/>
    </row>
    <row r="3908" spans="1:1">
      <c r="A3908" s="90"/>
    </row>
    <row r="3909" spans="1:1">
      <c r="A3909" s="90"/>
    </row>
    <row r="3910" spans="1:1">
      <c r="A3910" s="90"/>
    </row>
    <row r="3911" spans="1:1">
      <c r="A3911" s="90"/>
    </row>
    <row r="3912" spans="1:1">
      <c r="A3912" s="90"/>
    </row>
    <row r="3913" spans="1:1">
      <c r="A3913" s="90"/>
    </row>
    <row r="3914" spans="1:1">
      <c r="A3914" s="90"/>
    </row>
    <row r="3915" spans="1:1">
      <c r="A3915" s="90"/>
    </row>
    <row r="3916" spans="1:1">
      <c r="A3916" s="90"/>
    </row>
    <row r="3917" spans="1:1">
      <c r="A3917" s="90"/>
    </row>
    <row r="3918" spans="1:1">
      <c r="A3918" s="90"/>
    </row>
    <row r="3919" spans="1:1">
      <c r="A3919" s="90"/>
    </row>
    <row r="3920" spans="1:1">
      <c r="A3920" s="90"/>
    </row>
    <row r="3921" spans="1:1">
      <c r="A3921" s="90"/>
    </row>
    <row r="3922" spans="1:1">
      <c r="A3922" s="90"/>
    </row>
    <row r="3923" spans="1:1">
      <c r="A3923" s="90"/>
    </row>
    <row r="3924" spans="1:1">
      <c r="A3924" s="90"/>
    </row>
    <row r="3925" spans="1:1">
      <c r="A3925" s="90"/>
    </row>
    <row r="3926" spans="1:1">
      <c r="A3926" s="90"/>
    </row>
    <row r="3927" spans="1:1">
      <c r="A3927" s="90"/>
    </row>
    <row r="3928" spans="1:1">
      <c r="A3928" s="90"/>
    </row>
    <row r="3929" spans="1:1">
      <c r="A3929" s="90"/>
    </row>
    <row r="3930" spans="1:1">
      <c r="A3930" s="90"/>
    </row>
    <row r="3931" spans="1:1">
      <c r="A3931" s="90"/>
    </row>
    <row r="3932" spans="1:1">
      <c r="A3932" s="90"/>
    </row>
    <row r="3933" spans="1:1">
      <c r="A3933" s="90"/>
    </row>
    <row r="3934" spans="1:1">
      <c r="A3934" s="90"/>
    </row>
    <row r="3935" spans="1:1">
      <c r="A3935" s="90"/>
    </row>
    <row r="3936" spans="1:1">
      <c r="A3936" s="90"/>
    </row>
    <row r="3937" spans="1:1">
      <c r="A3937" s="90"/>
    </row>
    <row r="3938" spans="1:1">
      <c r="A3938" s="90"/>
    </row>
    <row r="3939" spans="1:1">
      <c r="A3939" s="90"/>
    </row>
    <row r="3940" spans="1:1">
      <c r="A3940" s="90"/>
    </row>
    <row r="3941" spans="1:1">
      <c r="A3941" s="90"/>
    </row>
    <row r="3942" spans="1:1">
      <c r="A3942" s="90"/>
    </row>
    <row r="3943" spans="1:1">
      <c r="A3943" s="90"/>
    </row>
    <row r="3944" spans="1:1">
      <c r="A3944" s="90"/>
    </row>
    <row r="3945" spans="1:1">
      <c r="A3945" s="90"/>
    </row>
    <row r="3946" spans="1:1">
      <c r="A3946" s="90"/>
    </row>
    <row r="3947" spans="1:1">
      <c r="A3947" s="90"/>
    </row>
    <row r="3948" spans="1:1">
      <c r="A3948" s="90"/>
    </row>
    <row r="3949" spans="1:1">
      <c r="A3949" s="90"/>
    </row>
    <row r="3950" spans="1:1">
      <c r="A3950" s="90"/>
    </row>
    <row r="3951" spans="1:1">
      <c r="A3951" s="90"/>
    </row>
    <row r="3952" spans="1:1">
      <c r="A3952" s="90"/>
    </row>
    <row r="3953" spans="1:1">
      <c r="A3953" s="90"/>
    </row>
    <row r="3954" spans="1:1">
      <c r="A3954" s="90"/>
    </row>
    <row r="3955" spans="1:1">
      <c r="A3955" s="90"/>
    </row>
    <row r="3956" spans="1:1">
      <c r="A3956" s="90"/>
    </row>
    <row r="3957" spans="1:1">
      <c r="A3957" s="90"/>
    </row>
    <row r="3958" spans="1:1">
      <c r="A3958" s="90"/>
    </row>
    <row r="3959" spans="1:1">
      <c r="A3959" s="90"/>
    </row>
    <row r="3960" spans="1:1">
      <c r="A3960" s="90"/>
    </row>
    <row r="3961" spans="1:1">
      <c r="A3961" s="90"/>
    </row>
    <row r="3962" spans="1:1">
      <c r="A3962" s="90"/>
    </row>
    <row r="3963" spans="1:1">
      <c r="A3963" s="90"/>
    </row>
    <row r="3964" spans="1:1">
      <c r="A3964" s="90"/>
    </row>
    <row r="3965" spans="1:1">
      <c r="A3965" s="90"/>
    </row>
    <row r="3966" spans="1:1">
      <c r="A3966" s="90"/>
    </row>
    <row r="3967" spans="1:1">
      <c r="A3967" s="90"/>
    </row>
    <row r="3968" spans="1:1">
      <c r="A3968" s="90"/>
    </row>
    <row r="3969" spans="1:1">
      <c r="A3969" s="90"/>
    </row>
    <row r="3970" spans="1:1">
      <c r="A3970" s="90"/>
    </row>
    <row r="3971" spans="1:1">
      <c r="A3971" s="90"/>
    </row>
    <row r="3972" spans="1:1">
      <c r="A3972" s="90"/>
    </row>
    <row r="3973" spans="1:1">
      <c r="A3973" s="90"/>
    </row>
    <row r="3974" spans="1:1">
      <c r="A3974" s="90"/>
    </row>
    <row r="3975" spans="1:1">
      <c r="A3975" s="90"/>
    </row>
    <row r="3976" spans="1:1">
      <c r="A3976" s="90"/>
    </row>
    <row r="3977" spans="1:1">
      <c r="A3977" s="90"/>
    </row>
    <row r="3978" spans="1:1">
      <c r="A3978" s="90"/>
    </row>
    <row r="3979" spans="1:1">
      <c r="A3979" s="90"/>
    </row>
    <row r="3980" spans="1:1">
      <c r="A3980" s="90"/>
    </row>
    <row r="3981" spans="1:1">
      <c r="A3981" s="90"/>
    </row>
    <row r="3982" spans="1:1">
      <c r="A3982" s="90"/>
    </row>
    <row r="3983" spans="1:1">
      <c r="A3983" s="90"/>
    </row>
    <row r="3984" spans="1:1">
      <c r="A3984" s="90"/>
    </row>
    <row r="3985" spans="1:1">
      <c r="A3985" s="90"/>
    </row>
    <row r="3986" spans="1:1">
      <c r="A3986" s="90"/>
    </row>
    <row r="3987" spans="1:1">
      <c r="A3987" s="90"/>
    </row>
    <row r="3988" spans="1:1">
      <c r="A3988" s="90"/>
    </row>
    <row r="3989" spans="1:1">
      <c r="A3989" s="90"/>
    </row>
    <row r="3990" spans="1:1">
      <c r="A3990" s="90"/>
    </row>
    <row r="3991" spans="1:1">
      <c r="A3991" s="90"/>
    </row>
    <row r="3992" spans="1:1">
      <c r="A3992" s="90"/>
    </row>
    <row r="3993" spans="1:1">
      <c r="A3993" s="90"/>
    </row>
    <row r="3994" spans="1:1">
      <c r="A3994" s="90"/>
    </row>
    <row r="3995" spans="1:1">
      <c r="A3995" s="90"/>
    </row>
    <row r="3996" spans="1:1">
      <c r="A3996" s="90"/>
    </row>
    <row r="3997" spans="1:1">
      <c r="A3997" s="90"/>
    </row>
    <row r="3998" spans="1:1">
      <c r="A3998" s="90"/>
    </row>
    <row r="3999" spans="1:1">
      <c r="A3999" s="90"/>
    </row>
    <row r="4000" spans="1:1">
      <c r="A4000" s="90"/>
    </row>
    <row r="4001" spans="1:1">
      <c r="A4001" s="90"/>
    </row>
    <row r="4002" spans="1:1">
      <c r="A4002" s="90"/>
    </row>
    <row r="4003" spans="1:1">
      <c r="A4003" s="90"/>
    </row>
    <row r="4004" spans="1:1">
      <c r="A4004" s="90"/>
    </row>
    <row r="4005" spans="1:1">
      <c r="A4005" s="90"/>
    </row>
    <row r="4006" spans="1:1">
      <c r="A4006" s="90"/>
    </row>
    <row r="4007" spans="1:1">
      <c r="A4007" s="90"/>
    </row>
    <row r="4008" spans="1:1">
      <c r="A4008" s="90"/>
    </row>
    <row r="4009" spans="1:1">
      <c r="A4009" s="90"/>
    </row>
    <row r="4010" spans="1:1">
      <c r="A4010" s="90"/>
    </row>
    <row r="4011" spans="1:1">
      <c r="A4011" s="90"/>
    </row>
    <row r="4012" spans="1:1">
      <c r="A4012" s="90"/>
    </row>
    <row r="4013" spans="1:1">
      <c r="A4013" s="90"/>
    </row>
    <row r="4014" spans="1:1">
      <c r="A4014" s="90"/>
    </row>
    <row r="4015" spans="1:1">
      <c r="A4015" s="90"/>
    </row>
    <row r="4016" spans="1:1">
      <c r="A4016" s="90"/>
    </row>
    <row r="4017" spans="1:1">
      <c r="A4017" s="90"/>
    </row>
    <row r="4018" spans="1:1">
      <c r="A4018" s="90"/>
    </row>
    <row r="4019" spans="1:1">
      <c r="A4019" s="90"/>
    </row>
    <row r="4020" spans="1:1">
      <c r="A4020" s="90"/>
    </row>
    <row r="4021" spans="1:1">
      <c r="A4021" s="90"/>
    </row>
    <row r="4022" spans="1:1">
      <c r="A4022" s="90"/>
    </row>
    <row r="4023" spans="1:1">
      <c r="A4023" s="90"/>
    </row>
    <row r="4024" spans="1:1">
      <c r="A4024" s="90"/>
    </row>
    <row r="4025" spans="1:1">
      <c r="A4025" s="90"/>
    </row>
    <row r="4026" spans="1:1">
      <c r="A4026" s="90"/>
    </row>
    <row r="4027" spans="1:1">
      <c r="A4027" s="90"/>
    </row>
    <row r="4028" spans="1:1">
      <c r="A4028" s="90"/>
    </row>
    <row r="4029" spans="1:1">
      <c r="A4029" s="90"/>
    </row>
    <row r="4030" spans="1:1">
      <c r="A4030" s="90"/>
    </row>
    <row r="4031" spans="1:1">
      <c r="A4031" s="90"/>
    </row>
    <row r="4032" spans="1:1">
      <c r="A4032" s="90"/>
    </row>
    <row r="4033" spans="1:1">
      <c r="A4033" s="90"/>
    </row>
    <row r="4034" spans="1:1">
      <c r="A4034" s="90"/>
    </row>
    <row r="4035" spans="1:1">
      <c r="A4035" s="90"/>
    </row>
    <row r="4036" spans="1:1">
      <c r="A4036" s="90"/>
    </row>
    <row r="4037" spans="1:1">
      <c r="A4037" s="90"/>
    </row>
    <row r="4038" spans="1:1">
      <c r="A4038" s="90"/>
    </row>
    <row r="4039" spans="1:1">
      <c r="A4039" s="90"/>
    </row>
    <row r="4040" spans="1:1">
      <c r="A4040" s="90"/>
    </row>
    <row r="4041" spans="1:1">
      <c r="A4041" s="90"/>
    </row>
    <row r="4042" spans="1:1">
      <c r="A4042" s="90"/>
    </row>
    <row r="4043" spans="1:1">
      <c r="A4043" s="90"/>
    </row>
    <row r="4044" spans="1:1">
      <c r="A4044" s="90"/>
    </row>
    <row r="4045" spans="1:1">
      <c r="A4045" s="90"/>
    </row>
    <row r="4046" spans="1:1">
      <c r="A4046" s="90"/>
    </row>
    <row r="4047" spans="1:1">
      <c r="A4047" s="90"/>
    </row>
    <row r="4048" spans="1:1">
      <c r="A4048" s="90"/>
    </row>
    <row r="4049" spans="1:1">
      <c r="A4049" s="90"/>
    </row>
    <row r="4050" spans="1:1">
      <c r="A4050" s="90"/>
    </row>
    <row r="4051" spans="1:1">
      <c r="A4051" s="90"/>
    </row>
    <row r="4052" spans="1:1">
      <c r="A4052" s="90"/>
    </row>
    <row r="4053" spans="1:1">
      <c r="A4053" s="90"/>
    </row>
    <row r="4054" spans="1:1">
      <c r="A4054" s="90"/>
    </row>
    <row r="4055" spans="1:1">
      <c r="A4055" s="90"/>
    </row>
    <row r="4056" spans="1:1">
      <c r="A4056" s="90"/>
    </row>
    <row r="4057" spans="1:1">
      <c r="A4057" s="90"/>
    </row>
    <row r="4058" spans="1:1">
      <c r="A4058" s="90"/>
    </row>
    <row r="4059" spans="1:1">
      <c r="A4059" s="90"/>
    </row>
    <row r="4060" spans="1:1">
      <c r="A4060" s="90"/>
    </row>
    <row r="4061" spans="1:1">
      <c r="A4061" s="90"/>
    </row>
    <row r="4062" spans="1:1">
      <c r="A4062" s="90"/>
    </row>
    <row r="4063" spans="1:1">
      <c r="A4063" s="90"/>
    </row>
    <row r="4064" spans="1:1">
      <c r="A4064" s="90"/>
    </row>
    <row r="4065" spans="1:1">
      <c r="A4065" s="90"/>
    </row>
    <row r="4066" spans="1:1">
      <c r="A4066" s="90"/>
    </row>
    <row r="4067" spans="1:1">
      <c r="A4067" s="90"/>
    </row>
    <row r="4068" spans="1:1">
      <c r="A4068" s="90"/>
    </row>
    <row r="4069" spans="1:1">
      <c r="A4069" s="90"/>
    </row>
    <row r="4070" spans="1:1">
      <c r="A4070" s="90"/>
    </row>
    <row r="4071" spans="1:1">
      <c r="A4071" s="90"/>
    </row>
    <row r="4072" spans="1:1">
      <c r="A4072" s="90"/>
    </row>
    <row r="4073" spans="1:1">
      <c r="A4073" s="90"/>
    </row>
    <row r="4074" spans="1:1">
      <c r="A4074" s="90"/>
    </row>
    <row r="4075" spans="1:1">
      <c r="A4075" s="90"/>
    </row>
    <row r="4076" spans="1:1">
      <c r="A4076" s="90"/>
    </row>
    <row r="4077" spans="1:1">
      <c r="A4077" s="90"/>
    </row>
    <row r="4078" spans="1:1">
      <c r="A4078" s="90"/>
    </row>
    <row r="4079" spans="1:1">
      <c r="A4079" s="89"/>
    </row>
    <row r="4080" spans="1:1">
      <c r="A4080" s="90"/>
    </row>
    <row r="4081" spans="1:1">
      <c r="A4081" s="90"/>
    </row>
    <row r="4082" spans="1:1">
      <c r="A4082" s="90"/>
    </row>
    <row r="4083" spans="1:1">
      <c r="A4083" s="90"/>
    </row>
    <row r="4084" spans="1:1">
      <c r="A4084" s="90"/>
    </row>
    <row r="4085" spans="1:1">
      <c r="A4085" s="90"/>
    </row>
    <row r="4086" spans="1:1">
      <c r="A4086" s="90"/>
    </row>
    <row r="4087" spans="1:1">
      <c r="A4087" s="90"/>
    </row>
    <row r="4088" spans="1:1">
      <c r="A4088" s="90"/>
    </row>
    <row r="4089" spans="1:1">
      <c r="A4089" s="90"/>
    </row>
    <row r="4090" spans="1:1">
      <c r="A4090" s="90"/>
    </row>
    <row r="4091" spans="1:1">
      <c r="A4091" s="90"/>
    </row>
    <row r="4092" spans="1:1">
      <c r="A4092" s="90"/>
    </row>
    <row r="4093" spans="1:1">
      <c r="A4093" s="90"/>
    </row>
    <row r="4094" spans="1:1">
      <c r="A4094" s="90"/>
    </row>
    <row r="4095" spans="1:1">
      <c r="A4095" s="90"/>
    </row>
    <row r="4096" spans="1:1">
      <c r="A4096" s="90"/>
    </row>
    <row r="4097" spans="1:1">
      <c r="A4097" s="90"/>
    </row>
    <row r="4098" spans="1:1">
      <c r="A4098" s="90"/>
    </row>
    <row r="4099" spans="1:1">
      <c r="A4099" s="90"/>
    </row>
    <row r="4100" spans="1:1">
      <c r="A4100" s="90"/>
    </row>
    <row r="4101" spans="1:1">
      <c r="A4101" s="90"/>
    </row>
    <row r="4102" spans="1:1">
      <c r="A4102" s="89"/>
    </row>
    <row r="4103" spans="1:1">
      <c r="A4103" s="90"/>
    </row>
    <row r="4104" spans="1:1">
      <c r="A4104" s="90"/>
    </row>
    <row r="4105" spans="1:1">
      <c r="A4105" s="90"/>
    </row>
    <row r="4106" spans="1:1">
      <c r="A4106" s="90"/>
    </row>
    <row r="4107" spans="1:1">
      <c r="A4107" s="90"/>
    </row>
    <row r="4108" spans="1:1">
      <c r="A4108" s="90"/>
    </row>
    <row r="4109" spans="1:1">
      <c r="A4109" s="90"/>
    </row>
    <row r="4110" spans="1:1">
      <c r="A4110" s="90"/>
    </row>
    <row r="4111" spans="1:1">
      <c r="A4111" s="90"/>
    </row>
    <row r="4112" spans="1:1">
      <c r="A4112" s="90"/>
    </row>
    <row r="4113" spans="1:1">
      <c r="A4113" s="90"/>
    </row>
    <row r="4114" spans="1:1">
      <c r="A4114" s="90"/>
    </row>
    <row r="4115" spans="1:1">
      <c r="A4115" s="90"/>
    </row>
    <row r="4116" spans="1:1">
      <c r="A4116" s="90"/>
    </row>
    <row r="4117" spans="1:1">
      <c r="A4117" s="90"/>
    </row>
    <row r="4118" spans="1:1">
      <c r="A4118" s="90"/>
    </row>
    <row r="4119" spans="1:1">
      <c r="A4119" s="90"/>
    </row>
    <row r="4120" spans="1:1">
      <c r="A4120" s="90"/>
    </row>
    <row r="4121" spans="1:1">
      <c r="A4121" s="90"/>
    </row>
    <row r="4122" spans="1:1">
      <c r="A4122" s="90"/>
    </row>
    <row r="4123" spans="1:1">
      <c r="A4123" s="90"/>
    </row>
    <row r="4124" spans="1:1">
      <c r="A4124" s="90"/>
    </row>
    <row r="4125" spans="1:1">
      <c r="A4125" s="90"/>
    </row>
    <row r="4126" spans="1:1">
      <c r="A4126" s="90"/>
    </row>
    <row r="4127" spans="1:1">
      <c r="A4127" s="90"/>
    </row>
    <row r="4128" spans="1:1">
      <c r="A4128" s="90"/>
    </row>
    <row r="4129" spans="1:1">
      <c r="A4129" s="90"/>
    </row>
    <row r="4130" spans="1:1">
      <c r="A4130" s="90"/>
    </row>
    <row r="4131" spans="1:1">
      <c r="A4131" s="90"/>
    </row>
    <row r="4132" spans="1:1">
      <c r="A4132" s="90"/>
    </row>
    <row r="4133" spans="1:1">
      <c r="A4133" s="90"/>
    </row>
    <row r="4134" spans="1:1">
      <c r="A4134" s="90"/>
    </row>
    <row r="4135" spans="1:1">
      <c r="A4135" s="90"/>
    </row>
    <row r="4136" spans="1:1">
      <c r="A4136" s="90"/>
    </row>
    <row r="4137" spans="1:1">
      <c r="A4137" s="90"/>
    </row>
    <row r="4138" spans="1:1">
      <c r="A4138" s="90"/>
    </row>
    <row r="4139" spans="1:1">
      <c r="A4139" s="90"/>
    </row>
    <row r="4140" spans="1:1">
      <c r="A4140" s="90"/>
    </row>
    <row r="4141" spans="1:1">
      <c r="A4141" s="90"/>
    </row>
    <row r="4142" spans="1:1">
      <c r="A4142" s="90"/>
    </row>
    <row r="4143" spans="1:1">
      <c r="A4143" s="90"/>
    </row>
    <row r="4144" spans="1:1">
      <c r="A4144" s="90"/>
    </row>
    <row r="4145" spans="1:1">
      <c r="A4145" s="90"/>
    </row>
    <row r="4146" spans="1:1">
      <c r="A4146" s="90"/>
    </row>
    <row r="4147" spans="1:1">
      <c r="A4147" s="89"/>
    </row>
    <row r="4148" spans="1:1">
      <c r="A4148" s="90"/>
    </row>
    <row r="4149" spans="1:1">
      <c r="A4149" s="89"/>
    </row>
    <row r="4150" spans="1:1">
      <c r="A4150" s="90"/>
    </row>
    <row r="4151" spans="1:1">
      <c r="A4151" s="90"/>
    </row>
    <row r="4152" spans="1:1">
      <c r="A4152" s="90"/>
    </row>
    <row r="4153" spans="1:1">
      <c r="A4153" s="90"/>
    </row>
    <row r="4154" spans="1:1">
      <c r="A4154" s="90"/>
    </row>
    <row r="4155" spans="1:1">
      <c r="A4155" s="89"/>
    </row>
    <row r="4156" spans="1:1">
      <c r="A4156" s="90"/>
    </row>
    <row r="4157" spans="1:1">
      <c r="A4157" s="89"/>
    </row>
    <row r="4158" spans="1:1">
      <c r="A4158" s="90"/>
    </row>
    <row r="4159" spans="1:1">
      <c r="A4159" s="89"/>
    </row>
    <row r="4160" spans="1:1">
      <c r="A4160" s="90"/>
    </row>
    <row r="4161" spans="1:1">
      <c r="A4161" s="90"/>
    </row>
    <row r="4162" spans="1:1">
      <c r="A4162" s="90"/>
    </row>
    <row r="4163" spans="1:1">
      <c r="A4163" s="90"/>
    </row>
    <row r="4164" spans="1:1">
      <c r="A4164" s="89"/>
    </row>
    <row r="4165" spans="1:1">
      <c r="A4165" s="90"/>
    </row>
    <row r="4166" spans="1:1">
      <c r="A4166" s="90"/>
    </row>
    <row r="4167" spans="1:1">
      <c r="A4167" s="90"/>
    </row>
    <row r="4168" spans="1:1">
      <c r="A4168" s="90"/>
    </row>
    <row r="4169" spans="1:1">
      <c r="A4169" s="89"/>
    </row>
    <row r="4170" spans="1:1">
      <c r="A4170" s="90"/>
    </row>
    <row r="4171" spans="1:1">
      <c r="A4171" s="90"/>
    </row>
    <row r="4172" spans="1:1">
      <c r="A4172" s="90"/>
    </row>
    <row r="4173" spans="1:1">
      <c r="A4173" s="90"/>
    </row>
    <row r="4174" spans="1:1">
      <c r="A4174" s="89"/>
    </row>
    <row r="4175" spans="1:1">
      <c r="A4175" s="90"/>
    </row>
    <row r="4176" spans="1:1">
      <c r="A4176" s="90"/>
    </row>
    <row r="4177" spans="1:1">
      <c r="A4177" s="90"/>
    </row>
    <row r="4178" spans="1:1">
      <c r="A4178" s="90"/>
    </row>
    <row r="4179" spans="1:1">
      <c r="A4179" s="90"/>
    </row>
    <row r="4180" spans="1:1">
      <c r="A4180" s="89"/>
    </row>
    <row r="4181" spans="1:1">
      <c r="A4181" s="90"/>
    </row>
    <row r="4182" spans="1:1">
      <c r="A4182" s="90"/>
    </row>
    <row r="4183" spans="1:1">
      <c r="A4183" s="90"/>
    </row>
    <row r="4184" spans="1:1">
      <c r="A4184" s="90"/>
    </row>
    <row r="4185" spans="1:1">
      <c r="A4185" s="89"/>
    </row>
    <row r="4186" spans="1:1">
      <c r="A4186" s="90"/>
    </row>
    <row r="4187" spans="1:1">
      <c r="A4187" s="90"/>
    </row>
    <row r="4188" spans="1:1">
      <c r="A4188" s="90"/>
    </row>
    <row r="4189" spans="1:1">
      <c r="A4189" s="90"/>
    </row>
    <row r="4190" spans="1:1">
      <c r="A4190" s="90"/>
    </row>
    <row r="4191" spans="1:1">
      <c r="A4191" s="89"/>
    </row>
    <row r="4192" spans="1:1">
      <c r="A4192" s="90"/>
    </row>
    <row r="4193" spans="1:1">
      <c r="A4193" s="90"/>
    </row>
    <row r="4194" spans="1:1">
      <c r="A4194" s="90"/>
    </row>
    <row r="4195" spans="1:1">
      <c r="A4195" s="90"/>
    </row>
    <row r="4196" spans="1:1">
      <c r="A4196" s="89"/>
    </row>
    <row r="4197" spans="1:1">
      <c r="A4197" s="90"/>
    </row>
    <row r="4198" spans="1:1">
      <c r="A4198" s="90"/>
    </row>
    <row r="4199" spans="1:1">
      <c r="A4199" s="90"/>
    </row>
    <row r="4200" spans="1:1">
      <c r="A4200" s="90"/>
    </row>
    <row r="4201" spans="1:1">
      <c r="A4201" s="89"/>
    </row>
    <row r="4202" spans="1:1">
      <c r="A4202" s="90"/>
    </row>
    <row r="4203" spans="1:1">
      <c r="A4203" s="90"/>
    </row>
    <row r="4204" spans="1:1">
      <c r="A4204" s="90"/>
    </row>
    <row r="4205" spans="1:1">
      <c r="A4205" s="90"/>
    </row>
    <row r="4206" spans="1:1">
      <c r="A4206" s="89"/>
    </row>
    <row r="4207" spans="1:1">
      <c r="A4207" s="90"/>
    </row>
    <row r="4208" spans="1:1">
      <c r="A4208" s="90"/>
    </row>
    <row r="4209" spans="1:1">
      <c r="A4209" s="90"/>
    </row>
    <row r="4210" spans="1:1">
      <c r="A4210" s="90"/>
    </row>
    <row r="4211" spans="1:1">
      <c r="A4211" s="90"/>
    </row>
    <row r="4212" spans="1:1">
      <c r="A4212" s="89"/>
    </row>
    <row r="4213" spans="1:1">
      <c r="A4213" s="90"/>
    </row>
    <row r="4214" spans="1:1">
      <c r="A4214" s="90"/>
    </row>
    <row r="4215" spans="1:1">
      <c r="A4215" s="90"/>
    </row>
    <row r="4216" spans="1:1">
      <c r="A4216" s="90"/>
    </row>
    <row r="4217" spans="1:1">
      <c r="A4217" s="89"/>
    </row>
    <row r="4218" spans="1:1">
      <c r="A4218" s="90"/>
    </row>
    <row r="4219" spans="1:1">
      <c r="A4219" s="90"/>
    </row>
    <row r="4220" spans="1:1">
      <c r="A4220" s="90"/>
    </row>
    <row r="4221" spans="1:1">
      <c r="A4221" s="90"/>
    </row>
    <row r="4222" spans="1:1">
      <c r="A4222" s="90"/>
    </row>
    <row r="4223" spans="1:1">
      <c r="A4223" s="89"/>
    </row>
    <row r="4224" spans="1:1">
      <c r="A4224" s="90"/>
    </row>
    <row r="4225" spans="1:1">
      <c r="A4225" s="90"/>
    </row>
    <row r="4226" spans="1:1">
      <c r="A4226" s="90"/>
    </row>
    <row r="4227" spans="1:1">
      <c r="A4227" s="90"/>
    </row>
    <row r="4228" spans="1:1">
      <c r="A4228" s="89"/>
    </row>
    <row r="4229" spans="1:1">
      <c r="A4229" s="90"/>
    </row>
    <row r="4230" spans="1:1">
      <c r="A4230" s="90"/>
    </row>
    <row r="4231" spans="1:1">
      <c r="A4231" s="90"/>
    </row>
    <row r="4232" spans="1:1">
      <c r="A4232" s="90"/>
    </row>
    <row r="4233" spans="1:1">
      <c r="A4233" s="90"/>
    </row>
    <row r="4234" spans="1:1">
      <c r="A4234" s="89"/>
    </row>
    <row r="4235" spans="1:1">
      <c r="A4235" s="90"/>
    </row>
    <row r="4236" spans="1:1">
      <c r="A4236" s="90"/>
    </row>
    <row r="4237" spans="1:1">
      <c r="A4237" s="90"/>
    </row>
    <row r="4238" spans="1:1">
      <c r="A4238" s="90"/>
    </row>
    <row r="4239" spans="1:1">
      <c r="A4239" s="89"/>
    </row>
    <row r="4240" spans="1:1">
      <c r="A4240" s="90"/>
    </row>
    <row r="4241" spans="1:1">
      <c r="A4241" s="90"/>
    </row>
    <row r="4242" spans="1:1">
      <c r="A4242" s="90"/>
    </row>
    <row r="4243" spans="1:1">
      <c r="A4243" s="90"/>
    </row>
    <row r="4244" spans="1:1">
      <c r="A4244" s="89"/>
    </row>
    <row r="4245" spans="1:1">
      <c r="A4245" s="90"/>
    </row>
    <row r="4246" spans="1:1">
      <c r="A4246" s="89"/>
    </row>
    <row r="4247" spans="1:1">
      <c r="A4247" s="90"/>
    </row>
    <row r="4248" spans="1:1">
      <c r="A4248" s="89"/>
    </row>
    <row r="4249" spans="1:1">
      <c r="A4249" s="90"/>
    </row>
    <row r="4250" spans="1:1">
      <c r="A4250" s="90"/>
    </row>
    <row r="4251" spans="1:1">
      <c r="A4251" s="90"/>
    </row>
    <row r="4252" spans="1:1">
      <c r="A4252" s="90"/>
    </row>
    <row r="4253" spans="1:1">
      <c r="A4253" s="89"/>
    </row>
    <row r="4254" spans="1:1">
      <c r="A4254" s="90"/>
    </row>
    <row r="4255" spans="1:1">
      <c r="A4255" s="90"/>
    </row>
    <row r="4256" spans="1:1">
      <c r="A4256" s="90"/>
    </row>
    <row r="4257" spans="1:1">
      <c r="A4257" s="90"/>
    </row>
    <row r="4258" spans="1:1">
      <c r="A4258" s="89"/>
    </row>
    <row r="4259" spans="1:1">
      <c r="A4259" s="90"/>
    </row>
    <row r="4260" spans="1:1">
      <c r="A4260" s="89"/>
    </row>
    <row r="4261" spans="1:1">
      <c r="A4261" s="90"/>
    </row>
    <row r="4262" spans="1:1">
      <c r="A4262" s="90"/>
    </row>
    <row r="4263" spans="1:1">
      <c r="A4263" s="90"/>
    </row>
    <row r="4264" spans="1:1">
      <c r="A4264" s="90"/>
    </row>
    <row r="4265" spans="1:1">
      <c r="A4265" s="89"/>
    </row>
    <row r="4266" spans="1:1">
      <c r="A4266" s="90"/>
    </row>
    <row r="4267" spans="1:1">
      <c r="A4267" s="90"/>
    </row>
    <row r="4268" spans="1:1">
      <c r="A4268" s="89"/>
    </row>
    <row r="4269" spans="1:1">
      <c r="A4269" s="90"/>
    </row>
    <row r="4270" spans="1:1">
      <c r="A4270" s="89"/>
    </row>
    <row r="4271" spans="1:1">
      <c r="A4271" s="90"/>
    </row>
    <row r="4272" spans="1:1">
      <c r="A4272" s="89"/>
    </row>
    <row r="4273" spans="1:1">
      <c r="A4273" s="90"/>
    </row>
    <row r="4274" spans="1:1">
      <c r="A4274" s="89"/>
    </row>
    <row r="4275" spans="1:1">
      <c r="A4275" s="90"/>
    </row>
    <row r="4276" spans="1:1">
      <c r="A4276" s="89"/>
    </row>
    <row r="4277" spans="1:1">
      <c r="A4277" s="90"/>
    </row>
    <row r="4278" spans="1:1">
      <c r="A4278" s="89"/>
    </row>
    <row r="4279" spans="1:1">
      <c r="A4279" s="90"/>
    </row>
    <row r="4280" spans="1:1">
      <c r="A4280" s="90"/>
    </row>
    <row r="4281" spans="1:1">
      <c r="A4281" s="90"/>
    </row>
    <row r="4282" spans="1:1">
      <c r="A4282" s="90"/>
    </row>
    <row r="4283" spans="1:1">
      <c r="A4283" s="90"/>
    </row>
    <row r="4284" spans="1:1">
      <c r="A4284" s="90"/>
    </row>
    <row r="4285" spans="1:1">
      <c r="A4285" s="90"/>
    </row>
    <row r="4286" spans="1:1">
      <c r="A4286" s="90"/>
    </row>
    <row r="4287" spans="1:1">
      <c r="A4287" s="89"/>
    </row>
    <row r="4288" spans="1:1">
      <c r="A4288" s="90"/>
    </row>
    <row r="4289" spans="1:1">
      <c r="A4289" s="90"/>
    </row>
    <row r="4290" spans="1:1">
      <c r="A4290" s="90"/>
    </row>
    <row r="4291" spans="1:1">
      <c r="A4291" s="89"/>
    </row>
    <row r="4292" spans="1:1">
      <c r="A4292" s="90"/>
    </row>
    <row r="4293" spans="1:1">
      <c r="A4293" s="90"/>
    </row>
    <row r="4294" spans="1:1">
      <c r="A4294" s="89"/>
    </row>
    <row r="4295" spans="1:1">
      <c r="A4295" s="90"/>
    </row>
    <row r="4296" spans="1:1">
      <c r="A4296" s="90"/>
    </row>
    <row r="4297" spans="1:1">
      <c r="A4297" s="89"/>
    </row>
    <row r="4298" spans="1:1">
      <c r="A4298" s="90"/>
    </row>
    <row r="4299" spans="1:1">
      <c r="A4299" s="90"/>
    </row>
    <row r="4300" spans="1:1">
      <c r="A4300" s="89"/>
    </row>
    <row r="4301" spans="1:1">
      <c r="A4301" s="90"/>
    </row>
    <row r="4302" spans="1:1">
      <c r="A4302" s="90"/>
    </row>
    <row r="4303" spans="1:1">
      <c r="A4303" s="90"/>
    </row>
    <row r="4304" spans="1:1">
      <c r="A4304" s="89"/>
    </row>
    <row r="4305" spans="1:1">
      <c r="A4305" s="90"/>
    </row>
    <row r="4306" spans="1:1">
      <c r="A4306" s="90"/>
    </row>
    <row r="4307" spans="1:1">
      <c r="A4307" s="90"/>
    </row>
    <row r="4308" spans="1:1">
      <c r="A4308" s="89"/>
    </row>
    <row r="4309" spans="1:1">
      <c r="A4309" s="90"/>
    </row>
    <row r="4310" spans="1:1">
      <c r="A4310" s="90"/>
    </row>
    <row r="4311" spans="1:1">
      <c r="A4311" s="89"/>
    </row>
    <row r="4312" spans="1:1">
      <c r="A4312" s="90"/>
    </row>
    <row r="4313" spans="1:1">
      <c r="A4313" s="89"/>
    </row>
    <row r="4314" spans="1:1">
      <c r="A4314" s="90"/>
    </row>
    <row r="4315" spans="1:1">
      <c r="A4315" s="89"/>
    </row>
    <row r="4316" spans="1:1">
      <c r="A4316" s="90"/>
    </row>
    <row r="4317" spans="1:1">
      <c r="A4317" s="89"/>
    </row>
    <row r="4318" spans="1:1">
      <c r="A4318" s="90"/>
    </row>
    <row r="4319" spans="1:1">
      <c r="A4319" s="90"/>
    </row>
    <row r="4320" spans="1:1">
      <c r="A4320" s="89"/>
    </row>
    <row r="4321" spans="1:1">
      <c r="A4321" s="90"/>
    </row>
    <row r="4322" spans="1:1">
      <c r="A4322" s="89"/>
    </row>
    <row r="4323" spans="1:1">
      <c r="A4323" s="90"/>
    </row>
    <row r="4324" spans="1:1">
      <c r="A4324" s="90"/>
    </row>
    <row r="4325" spans="1:1">
      <c r="A4325" s="89"/>
    </row>
    <row r="4326" spans="1:1">
      <c r="A4326" s="90"/>
    </row>
    <row r="4327" spans="1:1">
      <c r="A4327" s="89"/>
    </row>
    <row r="4328" spans="1:1">
      <c r="A4328" s="90"/>
    </row>
    <row r="4329" spans="1:1">
      <c r="A4329" s="90"/>
    </row>
    <row r="4330" spans="1:1">
      <c r="A4330" s="89"/>
    </row>
    <row r="4331" spans="1:1">
      <c r="A4331" s="90"/>
    </row>
    <row r="4332" spans="1:1">
      <c r="A4332" s="89"/>
    </row>
    <row r="4333" spans="1:1">
      <c r="A4333" s="90"/>
    </row>
    <row r="4334" spans="1:1">
      <c r="A4334" s="89"/>
    </row>
    <row r="4335" spans="1:1">
      <c r="A4335" s="90"/>
    </row>
    <row r="4336" spans="1:1">
      <c r="A4336" s="89"/>
    </row>
    <row r="4337" spans="1:1">
      <c r="A4337" s="90"/>
    </row>
    <row r="4338" spans="1:1">
      <c r="A4338" s="90"/>
    </row>
    <row r="4339" spans="1:1">
      <c r="A4339" s="90"/>
    </row>
    <row r="4340" spans="1:1">
      <c r="A4340" s="90"/>
    </row>
    <row r="4341" spans="1:1">
      <c r="A4341" s="90"/>
    </row>
    <row r="4342" spans="1:1">
      <c r="A4342" s="90"/>
    </row>
    <row r="4343" spans="1:1">
      <c r="A4343" s="90"/>
    </row>
    <row r="4344" spans="1:1">
      <c r="A4344" s="90"/>
    </row>
    <row r="4345" spans="1:1">
      <c r="A4345" s="90"/>
    </row>
    <row r="4346" spans="1:1">
      <c r="A4346" s="90"/>
    </row>
    <row r="4347" spans="1:1">
      <c r="A4347" s="90"/>
    </row>
    <row r="4348" spans="1:1">
      <c r="A4348" s="90"/>
    </row>
    <row r="4349" spans="1:1">
      <c r="A4349" s="90"/>
    </row>
    <row r="4350" spans="1:1">
      <c r="A4350" s="90"/>
    </row>
    <row r="4351" spans="1:1">
      <c r="A4351" s="90"/>
    </row>
    <row r="4352" spans="1:1">
      <c r="A4352" s="89"/>
    </row>
    <row r="4353" spans="1:1">
      <c r="A4353" s="90"/>
    </row>
    <row r="4354" spans="1:1">
      <c r="A4354" s="89"/>
    </row>
    <row r="4355" spans="1:1">
      <c r="A4355" s="90"/>
    </row>
    <row r="4356" spans="1:1">
      <c r="A4356" s="90"/>
    </row>
    <row r="4357" spans="1:1">
      <c r="A4357" s="89"/>
    </row>
    <row r="4358" spans="1:1">
      <c r="A4358" s="90"/>
    </row>
    <row r="4359" spans="1:1">
      <c r="A4359" s="89"/>
    </row>
    <row r="4360" spans="1:1">
      <c r="A4360" s="90"/>
    </row>
    <row r="4361" spans="1:1">
      <c r="A4361" s="90"/>
    </row>
    <row r="4362" spans="1:1">
      <c r="A4362" s="90"/>
    </row>
    <row r="4363" spans="1:1">
      <c r="A4363" s="89"/>
    </row>
    <row r="4364" spans="1:1">
      <c r="A4364" s="90"/>
    </row>
    <row r="4365" spans="1:1">
      <c r="A4365" s="89"/>
    </row>
    <row r="4366" spans="1:1">
      <c r="A4366" s="90"/>
    </row>
    <row r="4367" spans="1:1">
      <c r="A4367" s="89"/>
    </row>
    <row r="4368" spans="1:1">
      <c r="A4368" s="90"/>
    </row>
    <row r="4369" spans="1:1">
      <c r="A4369" s="90"/>
    </row>
    <row r="4370" spans="1:1">
      <c r="A4370" s="90"/>
    </row>
    <row r="4371" spans="1:1">
      <c r="A4371" s="90"/>
    </row>
    <row r="4372" spans="1:1">
      <c r="A4372" s="89"/>
    </row>
    <row r="4373" spans="1:1">
      <c r="A4373" s="90"/>
    </row>
    <row r="4374" spans="1:1">
      <c r="A4374" s="89"/>
    </row>
    <row r="4375" spans="1:1">
      <c r="A4375" s="90"/>
    </row>
    <row r="4376" spans="1:1">
      <c r="A4376" s="90"/>
    </row>
    <row r="4377" spans="1:1">
      <c r="A4377" s="90"/>
    </row>
    <row r="4378" spans="1:1">
      <c r="A4378" s="90"/>
    </row>
    <row r="4379" spans="1:1">
      <c r="A4379" s="90"/>
    </row>
    <row r="4380" spans="1:1">
      <c r="A4380" s="90"/>
    </row>
    <row r="4381" spans="1:1">
      <c r="A4381" s="90"/>
    </row>
    <row r="4382" spans="1:1">
      <c r="A4382" s="90"/>
    </row>
    <row r="4383" spans="1:1">
      <c r="A4383" s="90"/>
    </row>
    <row r="4384" spans="1:1">
      <c r="A4384" s="90"/>
    </row>
    <row r="4385" spans="1:1">
      <c r="A4385" s="90"/>
    </row>
    <row r="4386" spans="1:1">
      <c r="A4386" s="90"/>
    </row>
    <row r="4387" spans="1:1">
      <c r="A4387" s="90"/>
    </row>
    <row r="4388" spans="1:1">
      <c r="A4388" s="90"/>
    </row>
    <row r="4389" spans="1:1">
      <c r="A4389" s="90"/>
    </row>
    <row r="4390" spans="1:1">
      <c r="A4390" s="90"/>
    </row>
    <row r="4391" spans="1:1">
      <c r="A4391" s="90"/>
    </row>
    <row r="4392" spans="1:1">
      <c r="A4392" s="90"/>
    </row>
    <row r="4393" spans="1:1">
      <c r="A4393" s="90"/>
    </row>
    <row r="4394" spans="1:1">
      <c r="A4394" s="90"/>
    </row>
    <row r="4395" spans="1:1">
      <c r="A4395" s="89"/>
    </row>
    <row r="4396" spans="1:1">
      <c r="A4396" s="90"/>
    </row>
    <row r="4397" spans="1:1">
      <c r="A4397" s="90"/>
    </row>
    <row r="4398" spans="1:1">
      <c r="A4398" s="90"/>
    </row>
    <row r="4399" spans="1:1">
      <c r="A4399" s="90"/>
    </row>
    <row r="4400" spans="1:1">
      <c r="A4400" s="90"/>
    </row>
    <row r="4401" spans="1:1">
      <c r="A4401" s="90"/>
    </row>
    <row r="4402" spans="1:1">
      <c r="A4402" s="90"/>
    </row>
    <row r="4403" spans="1:1">
      <c r="A4403" s="90"/>
    </row>
    <row r="4404" spans="1:1">
      <c r="A4404" s="90"/>
    </row>
    <row r="4405" spans="1:1">
      <c r="A4405" s="90"/>
    </row>
    <row r="4406" spans="1:1">
      <c r="A4406" s="90"/>
    </row>
    <row r="4407" spans="1:1">
      <c r="A4407" s="90"/>
    </row>
    <row r="4408" spans="1:1">
      <c r="A4408" s="90"/>
    </row>
    <row r="4409" spans="1:1">
      <c r="A4409" s="90"/>
    </row>
    <row r="4410" spans="1:1">
      <c r="A4410" s="90"/>
    </row>
    <row r="4411" spans="1:1">
      <c r="A4411" s="90"/>
    </row>
    <row r="4412" spans="1:1">
      <c r="A4412" s="90"/>
    </row>
    <row r="4413" spans="1:1">
      <c r="A4413" s="90"/>
    </row>
    <row r="4414" spans="1:1">
      <c r="A4414" s="90"/>
    </row>
    <row r="4415" spans="1:1">
      <c r="A4415" s="90"/>
    </row>
    <row r="4416" spans="1:1">
      <c r="A4416" s="89"/>
    </row>
    <row r="4417" spans="1:1">
      <c r="A4417" s="90"/>
    </row>
    <row r="4418" spans="1:1">
      <c r="A4418" s="89"/>
    </row>
    <row r="4419" spans="1:1">
      <c r="A4419" s="90"/>
    </row>
    <row r="4420" spans="1:1">
      <c r="A4420" s="90"/>
    </row>
    <row r="4421" spans="1:1">
      <c r="A4421" s="90"/>
    </row>
    <row r="4422" spans="1:1">
      <c r="A4422" s="90"/>
    </row>
    <row r="4423" spans="1:1">
      <c r="A4423" s="90"/>
    </row>
    <row r="4424" spans="1:1">
      <c r="A4424" s="90"/>
    </row>
    <row r="4425" spans="1:1">
      <c r="A4425" s="90"/>
    </row>
    <row r="4426" spans="1:1">
      <c r="A4426" s="90"/>
    </row>
    <row r="4427" spans="1:1">
      <c r="A4427" s="90"/>
    </row>
    <row r="4428" spans="1:1">
      <c r="A4428" s="90"/>
    </row>
    <row r="4429" spans="1:1">
      <c r="A4429" s="90"/>
    </row>
    <row r="4430" spans="1:1">
      <c r="A4430" s="90"/>
    </row>
    <row r="4431" spans="1:1">
      <c r="A4431" s="90"/>
    </row>
    <row r="4432" spans="1:1">
      <c r="A4432" s="90"/>
    </row>
    <row r="4433" spans="1:1">
      <c r="A4433" s="90"/>
    </row>
    <row r="4434" spans="1:1">
      <c r="A4434" s="90"/>
    </row>
    <row r="4435" spans="1:1">
      <c r="A4435" s="90"/>
    </row>
    <row r="4436" spans="1:1">
      <c r="A4436" s="90"/>
    </row>
    <row r="4437" spans="1:1">
      <c r="A4437" s="90"/>
    </row>
    <row r="4438" spans="1:1">
      <c r="A4438" s="90"/>
    </row>
    <row r="4439" spans="1:1">
      <c r="A4439" s="89"/>
    </row>
    <row r="4440" spans="1:1">
      <c r="A4440" s="90"/>
    </row>
    <row r="4441" spans="1:1">
      <c r="A4441" s="90"/>
    </row>
    <row r="4442" spans="1:1">
      <c r="A4442" s="90"/>
    </row>
    <row r="4443" spans="1:1">
      <c r="A4443" s="90"/>
    </row>
    <row r="4444" spans="1:1">
      <c r="A4444" s="90"/>
    </row>
    <row r="4445" spans="1:1">
      <c r="A4445" s="90"/>
    </row>
    <row r="4446" spans="1:1">
      <c r="A4446" s="90"/>
    </row>
    <row r="4447" spans="1:1">
      <c r="A4447" s="90"/>
    </row>
    <row r="4448" spans="1:1">
      <c r="A4448" s="90"/>
    </row>
    <row r="4449" spans="1:1">
      <c r="A4449" s="90"/>
    </row>
    <row r="4450" spans="1:1">
      <c r="A4450" s="90"/>
    </row>
    <row r="4451" spans="1:1">
      <c r="A4451" s="90"/>
    </row>
    <row r="4452" spans="1:1">
      <c r="A4452" s="89"/>
    </row>
    <row r="4453" spans="1:1">
      <c r="A4453" s="90"/>
    </row>
    <row r="4454" spans="1:1">
      <c r="A4454" s="89"/>
    </row>
    <row r="4455" spans="1:1">
      <c r="A4455" s="90"/>
    </row>
    <row r="4456" spans="1:1">
      <c r="A4456" s="90"/>
    </row>
    <row r="4457" spans="1:1">
      <c r="A4457" s="89"/>
    </row>
    <row r="4458" spans="1:1">
      <c r="A4458" s="90"/>
    </row>
    <row r="4459" spans="1:1">
      <c r="A4459" s="89"/>
    </row>
    <row r="4460" spans="1:1">
      <c r="A4460" s="90"/>
    </row>
    <row r="4461" spans="1:1">
      <c r="A4461" s="90"/>
    </row>
    <row r="4462" spans="1:1">
      <c r="A4462" s="90"/>
    </row>
    <row r="4463" spans="1:1">
      <c r="A4463" s="90"/>
    </row>
    <row r="4464" spans="1:1">
      <c r="A4464" s="89"/>
    </row>
    <row r="4465" spans="1:1">
      <c r="A4465" s="90"/>
    </row>
    <row r="4466" spans="1:1">
      <c r="A4466" s="90"/>
    </row>
    <row r="4467" spans="1:1">
      <c r="A4467" s="90"/>
    </row>
    <row r="4468" spans="1:1">
      <c r="A4468" s="90"/>
    </row>
    <row r="4469" spans="1:1">
      <c r="A4469" s="89"/>
    </row>
    <row r="4470" spans="1:1">
      <c r="A4470" s="90"/>
    </row>
    <row r="4471" spans="1:1">
      <c r="A4471" s="89"/>
    </row>
    <row r="4472" spans="1:1">
      <c r="A4472" s="90"/>
    </row>
    <row r="4473" spans="1:1">
      <c r="A4473" s="89"/>
    </row>
    <row r="4474" spans="1:1">
      <c r="A4474" s="90"/>
    </row>
    <row r="4475" spans="1:1">
      <c r="A4475" s="90"/>
    </row>
    <row r="4476" spans="1:1">
      <c r="A4476" s="89"/>
    </row>
    <row r="4477" spans="1:1">
      <c r="A4477" s="90"/>
    </row>
    <row r="4478" spans="1:1">
      <c r="A4478" s="89"/>
    </row>
    <row r="4479" spans="1:1">
      <c r="A4479" s="90"/>
    </row>
    <row r="4480" spans="1:1">
      <c r="A4480" s="89"/>
    </row>
    <row r="4481" spans="1:1">
      <c r="A4481" s="90"/>
    </row>
    <row r="4482" spans="1:1">
      <c r="A4482" s="89"/>
    </row>
    <row r="4483" spans="1:1">
      <c r="A4483" s="90"/>
    </row>
    <row r="4484" spans="1:1">
      <c r="A4484" s="89"/>
    </row>
    <row r="4485" spans="1:1">
      <c r="A4485" s="90"/>
    </row>
    <row r="4486" spans="1:1">
      <c r="A4486" s="89"/>
    </row>
    <row r="4487" spans="1:1">
      <c r="A4487" s="90"/>
    </row>
    <row r="4488" spans="1:1">
      <c r="A4488" s="89"/>
    </row>
    <row r="4489" spans="1:1">
      <c r="A4489" s="90"/>
    </row>
    <row r="4490" spans="1:1">
      <c r="A4490" s="89"/>
    </row>
    <row r="4491" spans="1:1">
      <c r="A4491" s="90"/>
    </row>
    <row r="4492" spans="1:1">
      <c r="A4492" s="89"/>
    </row>
    <row r="4493" spans="1:1">
      <c r="A4493" s="90"/>
    </row>
    <row r="4494" spans="1:1">
      <c r="A4494" s="89"/>
    </row>
    <row r="4495" spans="1:1">
      <c r="A4495" s="90"/>
    </row>
    <row r="4496" spans="1:1">
      <c r="A4496" s="90"/>
    </row>
    <row r="4497" spans="1:1">
      <c r="A4497" s="89"/>
    </row>
    <row r="4498" spans="1:1">
      <c r="A4498" s="90"/>
    </row>
    <row r="4499" spans="1:1">
      <c r="A4499" s="89"/>
    </row>
    <row r="4500" spans="1:1">
      <c r="A4500" s="90"/>
    </row>
    <row r="4501" spans="1:1">
      <c r="A4501" s="90"/>
    </row>
    <row r="4502" spans="1:1">
      <c r="A4502" s="90"/>
    </row>
    <row r="4503" spans="1:1">
      <c r="A4503" s="90"/>
    </row>
    <row r="4504" spans="1:1">
      <c r="A4504" s="90"/>
    </row>
    <row r="4505" spans="1:1">
      <c r="A4505" s="89"/>
    </row>
    <row r="4506" spans="1:1">
      <c r="A4506" s="90"/>
    </row>
    <row r="4507" spans="1:1">
      <c r="A4507" s="89"/>
    </row>
    <row r="4508" spans="1:1">
      <c r="A4508" s="90"/>
    </row>
    <row r="4509" spans="1:1">
      <c r="A4509" s="89"/>
    </row>
    <row r="4510" spans="1:1">
      <c r="A4510" s="90"/>
    </row>
    <row r="4511" spans="1:1">
      <c r="A4511" s="89"/>
    </row>
    <row r="4512" spans="1:1">
      <c r="A4512" s="90"/>
    </row>
    <row r="4513" spans="1:1">
      <c r="A4513" s="90"/>
    </row>
    <row r="4514" spans="1:1">
      <c r="A4514" s="89"/>
    </row>
    <row r="4515" spans="1:1">
      <c r="A4515" s="90"/>
    </row>
    <row r="4516" spans="1:1">
      <c r="A4516" s="90"/>
    </row>
    <row r="4517" spans="1:1">
      <c r="A4517" s="89"/>
    </row>
    <row r="4518" spans="1:1">
      <c r="A4518" s="90"/>
    </row>
    <row r="4519" spans="1:1">
      <c r="A4519" s="89"/>
    </row>
    <row r="4520" spans="1:1">
      <c r="A4520" s="90"/>
    </row>
    <row r="4521" spans="1:1">
      <c r="A4521" s="89"/>
    </row>
    <row r="4522" spans="1:1">
      <c r="A4522" s="90"/>
    </row>
    <row r="4523" spans="1:1">
      <c r="A4523" s="89"/>
    </row>
    <row r="4524" spans="1:1">
      <c r="A4524" s="90"/>
    </row>
    <row r="4525" spans="1:1">
      <c r="A4525" s="89"/>
    </row>
    <row r="4526" spans="1:1">
      <c r="A4526" s="90"/>
    </row>
    <row r="4527" spans="1:1">
      <c r="A4527" s="89"/>
    </row>
    <row r="4528" spans="1:1">
      <c r="A4528" s="90"/>
    </row>
    <row r="4529" spans="1:1">
      <c r="A4529" s="89"/>
    </row>
    <row r="4530" spans="1:1">
      <c r="A4530" s="90"/>
    </row>
    <row r="4531" spans="1:1">
      <c r="A4531" s="90"/>
    </row>
    <row r="4532" spans="1:1">
      <c r="A4532" s="90"/>
    </row>
    <row r="4533" spans="1:1">
      <c r="A4533" s="89"/>
    </row>
    <row r="4534" spans="1:1">
      <c r="A4534" s="90"/>
    </row>
    <row r="4535" spans="1:1">
      <c r="A4535" s="89"/>
    </row>
    <row r="4536" spans="1:1">
      <c r="A4536" s="90"/>
    </row>
    <row r="4537" spans="1:1">
      <c r="A4537" s="89"/>
    </row>
    <row r="4538" spans="1:1">
      <c r="A4538" s="90"/>
    </row>
    <row r="4539" spans="1:1">
      <c r="A4539" s="89"/>
    </row>
    <row r="4540" spans="1:1">
      <c r="A4540" s="90"/>
    </row>
    <row r="4541" spans="1:1">
      <c r="A4541" s="90"/>
    </row>
    <row r="4542" spans="1:1">
      <c r="A4542" s="90"/>
    </row>
    <row r="4543" spans="1:1">
      <c r="A4543" s="90"/>
    </row>
    <row r="4544" spans="1:1">
      <c r="A4544" s="90"/>
    </row>
    <row r="4545" spans="1:1">
      <c r="A4545" s="90"/>
    </row>
    <row r="4546" spans="1:1">
      <c r="A4546" s="90"/>
    </row>
    <row r="4547" spans="1:1">
      <c r="A4547" s="90"/>
    </row>
    <row r="4548" spans="1:1">
      <c r="A4548" s="90"/>
    </row>
    <row r="4549" spans="1:1">
      <c r="A4549" s="90"/>
    </row>
    <row r="4550" spans="1:1">
      <c r="A4550" s="90"/>
    </row>
    <row r="4551" spans="1:1">
      <c r="A4551" s="90"/>
    </row>
    <row r="4552" spans="1:1">
      <c r="A4552" s="90"/>
    </row>
    <row r="4553" spans="1:1">
      <c r="A4553" s="90"/>
    </row>
    <row r="4554" spans="1:1">
      <c r="A4554" s="90"/>
    </row>
    <row r="4555" spans="1:1">
      <c r="A4555" s="90"/>
    </row>
    <row r="4556" spans="1:1">
      <c r="A4556" s="90"/>
    </row>
    <row r="4557" spans="1:1">
      <c r="A4557" s="90"/>
    </row>
    <row r="4558" spans="1:1">
      <c r="A4558" s="90"/>
    </row>
    <row r="4559" spans="1:1">
      <c r="A4559" s="90"/>
    </row>
    <row r="4560" spans="1:1">
      <c r="A4560" s="90"/>
    </row>
    <row r="4561" spans="1:1">
      <c r="A4561" s="90"/>
    </row>
    <row r="4562" spans="1:1">
      <c r="A4562" s="90"/>
    </row>
    <row r="4563" spans="1:1">
      <c r="A4563" s="90"/>
    </row>
    <row r="4564" spans="1:1">
      <c r="A4564" s="90"/>
    </row>
    <row r="4565" spans="1:1">
      <c r="A4565" s="90"/>
    </row>
    <row r="4566" spans="1:1">
      <c r="A4566" s="90"/>
    </row>
    <row r="4567" spans="1:1">
      <c r="A4567" s="90"/>
    </row>
    <row r="4568" spans="1:1">
      <c r="A4568" s="90"/>
    </row>
    <row r="4569" spans="1:1">
      <c r="A4569" s="90"/>
    </row>
    <row r="4570" spans="1:1">
      <c r="A4570" s="90"/>
    </row>
    <row r="4571" spans="1:1">
      <c r="A4571" s="90"/>
    </row>
    <row r="4572" spans="1:1">
      <c r="A4572" s="89"/>
    </row>
    <row r="4573" spans="1:1">
      <c r="A4573" s="89"/>
    </row>
    <row r="4574" spans="1:1">
      <c r="A4574" s="90"/>
    </row>
    <row r="4575" spans="1:1">
      <c r="A4575" s="90"/>
    </row>
    <row r="4576" spans="1:1">
      <c r="A4576" s="90"/>
    </row>
    <row r="4577" spans="1:1">
      <c r="A4577" s="89"/>
    </row>
    <row r="4578" spans="1:1">
      <c r="A4578" s="90"/>
    </row>
    <row r="4579" spans="1:1">
      <c r="A4579" s="90"/>
    </row>
    <row r="4580" spans="1:1">
      <c r="A4580" s="90"/>
    </row>
    <row r="4581" spans="1:1">
      <c r="A4581" s="90"/>
    </row>
    <row r="4582" spans="1:1">
      <c r="A4582" s="90"/>
    </row>
    <row r="4583" spans="1:1">
      <c r="A4583" s="89"/>
    </row>
    <row r="4584" spans="1:1">
      <c r="A4584" s="90"/>
    </row>
    <row r="4585" spans="1:1">
      <c r="A4585" s="90"/>
    </row>
    <row r="4586" spans="1:1">
      <c r="A4586" s="90"/>
    </row>
    <row r="4587" spans="1:1">
      <c r="A4587" s="90"/>
    </row>
    <row r="4588" spans="1:1">
      <c r="A4588" s="90"/>
    </row>
    <row r="4589" spans="1:1">
      <c r="A4589" s="90"/>
    </row>
    <row r="4590" spans="1:1">
      <c r="A4590" s="90"/>
    </row>
    <row r="4591" spans="1:1">
      <c r="A4591" s="90"/>
    </row>
    <row r="4592" spans="1:1">
      <c r="A4592" s="90"/>
    </row>
    <row r="4593" spans="1:1">
      <c r="A4593" s="90"/>
    </row>
    <row r="4594" spans="1:1">
      <c r="A4594" s="90"/>
    </row>
    <row r="4595" spans="1:1">
      <c r="A4595" s="90"/>
    </row>
    <row r="4596" spans="1:1">
      <c r="A4596" s="90"/>
    </row>
    <row r="4597" spans="1:1">
      <c r="A4597" s="90"/>
    </row>
    <row r="4598" spans="1:1">
      <c r="A4598" s="90"/>
    </row>
    <row r="4599" spans="1:1">
      <c r="A4599" s="90"/>
    </row>
    <row r="4600" spans="1:1">
      <c r="A4600" s="90"/>
    </row>
    <row r="4601" spans="1:1">
      <c r="A4601" s="90"/>
    </row>
    <row r="4602" spans="1:1">
      <c r="A4602" s="90"/>
    </row>
    <row r="4603" spans="1:1">
      <c r="A4603" s="90"/>
    </row>
    <row r="4604" spans="1:1">
      <c r="A4604" s="90"/>
    </row>
    <row r="4605" spans="1:1">
      <c r="A4605" s="90"/>
    </row>
    <row r="4606" spans="1:1">
      <c r="A4606" s="90"/>
    </row>
    <row r="4607" spans="1:1">
      <c r="A4607" s="90"/>
    </row>
    <row r="4608" spans="1:1">
      <c r="A4608" s="90"/>
    </row>
    <row r="4609" spans="1:1">
      <c r="A4609" s="90"/>
    </row>
    <row r="4610" spans="1:1">
      <c r="A4610" s="90"/>
    </row>
    <row r="4611" spans="1:1">
      <c r="A4611" s="90"/>
    </row>
    <row r="4612" spans="1:1">
      <c r="A4612" s="90"/>
    </row>
    <row r="4613" spans="1:1">
      <c r="A4613" s="90"/>
    </row>
    <row r="4614" spans="1:1">
      <c r="A4614" s="90"/>
    </row>
    <row r="4615" spans="1:1">
      <c r="A4615" s="90"/>
    </row>
    <row r="4616" spans="1:1">
      <c r="A4616" s="90"/>
    </row>
    <row r="4617" spans="1:1">
      <c r="A4617" s="90"/>
    </row>
    <row r="4618" spans="1:1">
      <c r="A4618" s="90"/>
    </row>
    <row r="4619" spans="1:1">
      <c r="A4619" s="89"/>
    </row>
    <row r="4620" spans="1:1">
      <c r="A4620" s="90"/>
    </row>
    <row r="4621" spans="1:1">
      <c r="A4621" s="89"/>
    </row>
    <row r="4622" spans="1:1">
      <c r="A4622" s="90"/>
    </row>
    <row r="4623" spans="1:1">
      <c r="A4623" s="90"/>
    </row>
    <row r="4624" spans="1:1">
      <c r="A4624" s="90"/>
    </row>
    <row r="4625" spans="1:1">
      <c r="A4625" s="90"/>
    </row>
    <row r="4626" spans="1:1">
      <c r="A4626" s="90"/>
    </row>
    <row r="4627" spans="1:1">
      <c r="A4627" s="90"/>
    </row>
    <row r="4628" spans="1:1">
      <c r="A4628" s="89"/>
    </row>
    <row r="4629" spans="1:1">
      <c r="A4629" s="90"/>
    </row>
    <row r="4630" spans="1:1">
      <c r="A4630" s="90"/>
    </row>
    <row r="4631" spans="1:1">
      <c r="A4631" s="90"/>
    </row>
    <row r="4632" spans="1:1">
      <c r="A4632" s="90"/>
    </row>
    <row r="4633" spans="1:1">
      <c r="A4633" s="90"/>
    </row>
    <row r="4634" spans="1:1">
      <c r="A4634" s="90"/>
    </row>
    <row r="4635" spans="1:1">
      <c r="A4635" s="89"/>
    </row>
    <row r="4636" spans="1:1">
      <c r="A4636" s="90"/>
    </row>
    <row r="4637" spans="1:1">
      <c r="A4637" s="90"/>
    </row>
    <row r="4638" spans="1:1">
      <c r="A4638" s="90"/>
    </row>
    <row r="4639" spans="1:1">
      <c r="A4639" s="90"/>
    </row>
    <row r="4640" spans="1:1">
      <c r="A4640" s="90"/>
    </row>
    <row r="4641" spans="1:1">
      <c r="A4641" s="90"/>
    </row>
    <row r="4642" spans="1:1">
      <c r="A4642" s="89"/>
    </row>
    <row r="4643" spans="1:1">
      <c r="A4643" s="90"/>
    </row>
    <row r="4644" spans="1:1">
      <c r="A4644" s="90"/>
    </row>
    <row r="4645" spans="1:1">
      <c r="A4645" s="90"/>
    </row>
    <row r="4646" spans="1:1">
      <c r="A4646" s="90"/>
    </row>
    <row r="4647" spans="1:1">
      <c r="A4647" s="90"/>
    </row>
    <row r="4648" spans="1:1">
      <c r="A4648" s="90"/>
    </row>
    <row r="4649" spans="1:1">
      <c r="A4649" s="89"/>
    </row>
    <row r="4650" spans="1:1">
      <c r="A4650" s="90"/>
    </row>
    <row r="4651" spans="1:1">
      <c r="A4651" s="90"/>
    </row>
    <row r="4652" spans="1:1">
      <c r="A4652" s="89"/>
    </row>
    <row r="4653" spans="1:1">
      <c r="A4653" s="90"/>
    </row>
    <row r="4654" spans="1:1">
      <c r="A4654" s="89"/>
    </row>
    <row r="4655" spans="1:1">
      <c r="A4655" s="90"/>
    </row>
    <row r="4656" spans="1:1">
      <c r="A4656" s="89"/>
    </row>
    <row r="4657" spans="1:1">
      <c r="A4657" s="90"/>
    </row>
    <row r="4658" spans="1:1">
      <c r="A4658" s="90"/>
    </row>
    <row r="4659" spans="1:1">
      <c r="A4659" s="89"/>
    </row>
    <row r="4660" spans="1:1">
      <c r="A4660" s="90"/>
    </row>
    <row r="4661" spans="1:1">
      <c r="A4661" s="90"/>
    </row>
    <row r="4662" spans="1:1">
      <c r="A4662" s="89"/>
    </row>
    <row r="4663" spans="1:1">
      <c r="A4663" s="90"/>
    </row>
    <row r="4664" spans="1:1">
      <c r="A4664" s="89"/>
    </row>
    <row r="4665" spans="1:1">
      <c r="A4665" s="90"/>
    </row>
    <row r="4666" spans="1:1">
      <c r="A4666" s="89"/>
    </row>
    <row r="4667" spans="1:1">
      <c r="A4667" s="90"/>
    </row>
    <row r="4668" spans="1:1">
      <c r="A4668" s="90"/>
    </row>
    <row r="4669" spans="1:1">
      <c r="A4669" s="90"/>
    </row>
    <row r="4670" spans="1:1">
      <c r="A4670" s="90"/>
    </row>
    <row r="4671" spans="1:1">
      <c r="A4671" s="90"/>
    </row>
    <row r="4672" spans="1:1">
      <c r="A4672" s="89"/>
    </row>
    <row r="4673" spans="1:1">
      <c r="A4673" s="90"/>
    </row>
    <row r="4674" spans="1:1">
      <c r="A4674" s="90"/>
    </row>
    <row r="4675" spans="1:1">
      <c r="A4675" s="90"/>
    </row>
    <row r="4676" spans="1:1">
      <c r="A4676" s="90"/>
    </row>
    <row r="4677" spans="1:1">
      <c r="A4677" s="90"/>
    </row>
    <row r="4678" spans="1:1">
      <c r="A4678" s="90"/>
    </row>
    <row r="4679" spans="1:1">
      <c r="A4679" s="90"/>
    </row>
    <row r="4680" spans="1:1">
      <c r="A4680" s="89"/>
    </row>
    <row r="4681" spans="1:1">
      <c r="A4681" s="90"/>
    </row>
    <row r="4682" spans="1:1">
      <c r="A4682" s="90"/>
    </row>
    <row r="4683" spans="1:1">
      <c r="A4683" s="89"/>
    </row>
    <row r="4684" spans="1:1">
      <c r="A4684" s="90"/>
    </row>
    <row r="4685" spans="1:1">
      <c r="A4685" s="89"/>
    </row>
    <row r="4686" spans="1:1">
      <c r="A4686" s="90"/>
    </row>
    <row r="4687" spans="1:1">
      <c r="A4687" s="89"/>
    </row>
    <row r="4688" spans="1:1">
      <c r="A4688" s="90"/>
    </row>
    <row r="4689" spans="1:1">
      <c r="A4689" s="90"/>
    </row>
    <row r="4690" spans="1:1">
      <c r="A4690" s="90"/>
    </row>
    <row r="4691" spans="1:1">
      <c r="A4691" s="90"/>
    </row>
    <row r="4692" spans="1:1">
      <c r="A4692" s="90"/>
    </row>
    <row r="4693" spans="1:1">
      <c r="A4693" s="89"/>
    </row>
    <row r="4694" spans="1:1">
      <c r="A4694" s="90"/>
    </row>
    <row r="4695" spans="1:1">
      <c r="A4695" s="90"/>
    </row>
    <row r="4696" spans="1:1">
      <c r="A4696" s="89"/>
    </row>
    <row r="4697" spans="1:1">
      <c r="A4697" s="90"/>
    </row>
    <row r="4698" spans="1:1">
      <c r="A4698" s="89"/>
    </row>
    <row r="4699" spans="1:1">
      <c r="A4699" s="90"/>
    </row>
    <row r="4700" spans="1:1">
      <c r="A4700" s="90"/>
    </row>
    <row r="4701" spans="1:1">
      <c r="A4701" s="90"/>
    </row>
    <row r="4702" spans="1:1">
      <c r="A4702" s="90"/>
    </row>
    <row r="4703" spans="1:1">
      <c r="A4703" s="89"/>
    </row>
    <row r="4704" spans="1:1">
      <c r="A4704" s="90"/>
    </row>
    <row r="4705" spans="1:1">
      <c r="A4705" s="90"/>
    </row>
    <row r="4706" spans="1:1">
      <c r="A4706" s="90"/>
    </row>
    <row r="4707" spans="1:1">
      <c r="A4707" s="90"/>
    </row>
    <row r="4708" spans="1:1">
      <c r="A4708" s="89"/>
    </row>
    <row r="4709" spans="1:1">
      <c r="A4709" s="90"/>
    </row>
    <row r="4710" spans="1:1">
      <c r="A4710" s="90"/>
    </row>
    <row r="4711" spans="1:1">
      <c r="A4711" s="90"/>
    </row>
    <row r="4712" spans="1:1">
      <c r="A4712" s="90"/>
    </row>
    <row r="4713" spans="1:1">
      <c r="A4713" s="89"/>
    </row>
    <row r="4714" spans="1:1">
      <c r="A4714" s="90"/>
    </row>
    <row r="4715" spans="1:1">
      <c r="A4715" s="90"/>
    </row>
    <row r="4716" spans="1:1">
      <c r="A4716" s="89"/>
    </row>
    <row r="4717" spans="1:1">
      <c r="A4717" s="90"/>
    </row>
    <row r="4718" spans="1:1">
      <c r="A4718" s="90"/>
    </row>
    <row r="4719" spans="1:1">
      <c r="A4719" s="90"/>
    </row>
    <row r="4720" spans="1:1">
      <c r="A4720" s="90"/>
    </row>
    <row r="4721" spans="1:1">
      <c r="A4721" s="90"/>
    </row>
    <row r="4722" spans="1:1">
      <c r="A4722" s="89"/>
    </row>
    <row r="4723" spans="1:1">
      <c r="A4723" s="90"/>
    </row>
    <row r="4724" spans="1:1">
      <c r="A4724" s="90"/>
    </row>
    <row r="4725" spans="1:1">
      <c r="A4725" s="90"/>
    </row>
    <row r="4726" spans="1:1">
      <c r="A4726" s="90"/>
    </row>
    <row r="4727" spans="1:1">
      <c r="A4727" s="90"/>
    </row>
    <row r="4728" spans="1:1">
      <c r="A4728" s="90"/>
    </row>
    <row r="4729" spans="1:1">
      <c r="A4729" s="90"/>
    </row>
    <row r="4730" spans="1:1">
      <c r="A4730" s="89"/>
    </row>
    <row r="4731" spans="1:1">
      <c r="A4731" s="90"/>
    </row>
    <row r="4732" spans="1:1">
      <c r="A4732" s="90"/>
    </row>
    <row r="4733" spans="1:1">
      <c r="A4733" s="90"/>
    </row>
    <row r="4734" spans="1:1">
      <c r="A4734" s="90"/>
    </row>
    <row r="4735" spans="1:1">
      <c r="A4735" s="90"/>
    </row>
    <row r="4736" spans="1:1">
      <c r="A4736" s="90"/>
    </row>
    <row r="4737" spans="1:1">
      <c r="A4737" s="90"/>
    </row>
    <row r="4738" spans="1:1">
      <c r="A4738" s="89"/>
    </row>
    <row r="4739" spans="1:1">
      <c r="A4739" s="90"/>
    </row>
    <row r="4740" spans="1:1">
      <c r="A4740" s="90"/>
    </row>
    <row r="4741" spans="1:1">
      <c r="A4741" s="90"/>
    </row>
    <row r="4742" spans="1:1">
      <c r="A4742" s="90"/>
    </row>
    <row r="4743" spans="1:1">
      <c r="A4743" s="90"/>
    </row>
    <row r="4744" spans="1:1">
      <c r="A4744" s="90"/>
    </row>
    <row r="4745" spans="1:1">
      <c r="A4745" s="90"/>
    </row>
    <row r="4746" spans="1:1">
      <c r="A4746" s="89"/>
    </row>
    <row r="4747" spans="1:1">
      <c r="A4747" s="90"/>
    </row>
    <row r="4748" spans="1:1">
      <c r="A4748" s="90"/>
    </row>
    <row r="4749" spans="1:1">
      <c r="A4749" s="90"/>
    </row>
    <row r="4750" spans="1:1">
      <c r="A4750" s="90"/>
    </row>
    <row r="4751" spans="1:1">
      <c r="A4751" s="90"/>
    </row>
    <row r="4752" spans="1:1">
      <c r="A4752" s="90"/>
    </row>
    <row r="4753" spans="1:1">
      <c r="A4753" s="90"/>
    </row>
    <row r="4754" spans="1:1">
      <c r="A4754" s="89"/>
    </row>
    <row r="4755" spans="1:1">
      <c r="A4755" s="90"/>
    </row>
    <row r="4756" spans="1:1">
      <c r="A4756" s="90"/>
    </row>
    <row r="4757" spans="1:1">
      <c r="A4757" s="90"/>
    </row>
    <row r="4758" spans="1:1">
      <c r="A4758" s="90"/>
    </row>
    <row r="4759" spans="1:1">
      <c r="A4759" s="90"/>
    </row>
    <row r="4760" spans="1:1">
      <c r="A4760" s="90"/>
    </row>
    <row r="4761" spans="1:1">
      <c r="A4761" s="90"/>
    </row>
    <row r="4762" spans="1:1">
      <c r="A4762" s="89"/>
    </row>
    <row r="4763" spans="1:1">
      <c r="A4763" s="90"/>
    </row>
    <row r="4764" spans="1:1">
      <c r="A4764" s="90"/>
    </row>
    <row r="4765" spans="1:1">
      <c r="A4765" s="90"/>
    </row>
    <row r="4766" spans="1:1">
      <c r="A4766" s="90"/>
    </row>
    <row r="4767" spans="1:1">
      <c r="A4767" s="90"/>
    </row>
    <row r="4768" spans="1:1">
      <c r="A4768" s="90"/>
    </row>
    <row r="4769" spans="1:1">
      <c r="A4769" s="90"/>
    </row>
    <row r="4770" spans="1:1">
      <c r="A4770" s="89"/>
    </row>
    <row r="4771" spans="1:1">
      <c r="A4771" s="90"/>
    </row>
    <row r="4772" spans="1:1">
      <c r="A4772" s="90"/>
    </row>
    <row r="4773" spans="1:1">
      <c r="A4773" s="89"/>
    </row>
    <row r="4774" spans="1:1">
      <c r="A4774" s="90"/>
    </row>
    <row r="4775" spans="1:1">
      <c r="A4775" s="90"/>
    </row>
    <row r="4776" spans="1:1">
      <c r="A4776" s="90"/>
    </row>
    <row r="4777" spans="1:1">
      <c r="A4777" s="90"/>
    </row>
    <row r="4778" spans="1:1">
      <c r="A4778" s="90"/>
    </row>
    <row r="4779" spans="1:1">
      <c r="A4779" s="89"/>
    </row>
    <row r="4780" spans="1:1">
      <c r="A4780" s="90"/>
    </row>
    <row r="4781" spans="1:1">
      <c r="A4781" s="90"/>
    </row>
    <row r="4782" spans="1:1">
      <c r="A4782" s="90"/>
    </row>
    <row r="4783" spans="1:1">
      <c r="A4783" s="90"/>
    </row>
    <row r="4784" spans="1:1">
      <c r="A4784" s="90"/>
    </row>
    <row r="4785" spans="1:1">
      <c r="A4785" s="90"/>
    </row>
    <row r="4786" spans="1:1">
      <c r="A4786" s="90"/>
    </row>
    <row r="4787" spans="1:1">
      <c r="A4787" s="89"/>
    </row>
    <row r="4788" spans="1:1">
      <c r="A4788" s="90"/>
    </row>
    <row r="4789" spans="1:1">
      <c r="A4789" s="90"/>
    </row>
    <row r="4790" spans="1:1">
      <c r="A4790" s="90"/>
    </row>
    <row r="4791" spans="1:1">
      <c r="A4791" s="90"/>
    </row>
    <row r="4792" spans="1:1">
      <c r="A4792" s="90"/>
    </row>
    <row r="4793" spans="1:1">
      <c r="A4793" s="90"/>
    </row>
    <row r="4794" spans="1:1">
      <c r="A4794" s="90"/>
    </row>
    <row r="4795" spans="1:1">
      <c r="A4795" s="89"/>
    </row>
    <row r="4796" spans="1:1">
      <c r="A4796" s="90"/>
    </row>
    <row r="4797" spans="1:1">
      <c r="A4797" s="90"/>
    </row>
    <row r="4798" spans="1:1">
      <c r="A4798" s="90"/>
    </row>
    <row r="4799" spans="1:1">
      <c r="A4799" s="90"/>
    </row>
    <row r="4800" spans="1:1">
      <c r="A4800" s="90"/>
    </row>
    <row r="4801" spans="1:1">
      <c r="A4801" s="90"/>
    </row>
    <row r="4802" spans="1:1">
      <c r="A4802" s="90"/>
    </row>
    <row r="4803" spans="1:1">
      <c r="A4803" s="89"/>
    </row>
    <row r="4804" spans="1:1">
      <c r="A4804" s="90"/>
    </row>
    <row r="4805" spans="1:1">
      <c r="A4805" s="90"/>
    </row>
    <row r="4806" spans="1:1">
      <c r="A4806" s="90"/>
    </row>
    <row r="4807" spans="1:1">
      <c r="A4807" s="90"/>
    </row>
    <row r="4808" spans="1:1">
      <c r="A4808" s="90"/>
    </row>
    <row r="4809" spans="1:1">
      <c r="A4809" s="90"/>
    </row>
    <row r="4810" spans="1:1">
      <c r="A4810" s="90"/>
    </row>
    <row r="4811" spans="1:1">
      <c r="A4811" s="89"/>
    </row>
    <row r="4812" spans="1:1">
      <c r="A4812" s="90"/>
    </row>
    <row r="4813" spans="1:1">
      <c r="A4813" s="90"/>
    </row>
    <row r="4814" spans="1:1">
      <c r="A4814" s="90"/>
    </row>
    <row r="4815" spans="1:1">
      <c r="A4815" s="90"/>
    </row>
    <row r="4816" spans="1:1">
      <c r="A4816" s="90"/>
    </row>
    <row r="4817" spans="1:1">
      <c r="A4817" s="90"/>
    </row>
    <row r="4818" spans="1:1">
      <c r="A4818" s="90"/>
    </row>
    <row r="4819" spans="1:1">
      <c r="A4819" s="89"/>
    </row>
    <row r="4820" spans="1:1">
      <c r="A4820" s="90"/>
    </row>
    <row r="4821" spans="1:1">
      <c r="A4821" s="90"/>
    </row>
    <row r="4822" spans="1:1">
      <c r="A4822" s="90"/>
    </row>
    <row r="4823" spans="1:1">
      <c r="A4823" s="90"/>
    </row>
    <row r="4824" spans="1:1">
      <c r="A4824" s="90"/>
    </row>
    <row r="4825" spans="1:1">
      <c r="A4825" s="90"/>
    </row>
    <row r="4826" spans="1:1">
      <c r="A4826" s="90"/>
    </row>
    <row r="4827" spans="1:1">
      <c r="A4827" s="89"/>
    </row>
    <row r="4828" spans="1:1">
      <c r="A4828" s="90"/>
    </row>
    <row r="4829" spans="1:1">
      <c r="A4829" s="90"/>
    </row>
    <row r="4830" spans="1:1">
      <c r="A4830" s="90"/>
    </row>
    <row r="4831" spans="1:1">
      <c r="A4831" s="90"/>
    </row>
    <row r="4832" spans="1:1">
      <c r="A4832" s="90"/>
    </row>
    <row r="4833" spans="1:1">
      <c r="A4833" s="89"/>
    </row>
    <row r="4834" spans="1:1">
      <c r="A4834" s="90"/>
    </row>
    <row r="4835" spans="1:1">
      <c r="A4835" s="90"/>
    </row>
    <row r="4836" spans="1:1">
      <c r="A4836" s="89"/>
    </row>
    <row r="4837" spans="1:1">
      <c r="A4837" s="90"/>
    </row>
    <row r="4838" spans="1:1">
      <c r="A4838" s="90"/>
    </row>
    <row r="4839" spans="1:1">
      <c r="A4839" s="90"/>
    </row>
    <row r="4840" spans="1:1">
      <c r="A4840" s="90"/>
    </row>
    <row r="4841" spans="1:1">
      <c r="A4841" s="89"/>
    </row>
    <row r="4842" spans="1:1">
      <c r="A4842" s="90"/>
    </row>
    <row r="4843" spans="1:1">
      <c r="A4843" s="90"/>
    </row>
    <row r="4844" spans="1:1">
      <c r="A4844" s="90"/>
    </row>
    <row r="4845" spans="1:1">
      <c r="A4845" s="90"/>
    </row>
    <row r="4846" spans="1:1">
      <c r="A4846" s="89"/>
    </row>
    <row r="4847" spans="1:1">
      <c r="A4847" s="90"/>
    </row>
    <row r="4848" spans="1:1">
      <c r="A4848" s="90"/>
    </row>
    <row r="4849" spans="1:1">
      <c r="A4849" s="90"/>
    </row>
    <row r="4850" spans="1:1">
      <c r="A4850" s="90"/>
    </row>
    <row r="4851" spans="1:1">
      <c r="A4851" s="89"/>
    </row>
    <row r="4852" spans="1:1">
      <c r="A4852" s="90"/>
    </row>
    <row r="4853" spans="1:1">
      <c r="A4853" s="90"/>
    </row>
    <row r="4854" spans="1:1">
      <c r="A4854" s="90"/>
    </row>
    <row r="4855" spans="1:1">
      <c r="A4855" s="90"/>
    </row>
    <row r="4856" spans="1:1">
      <c r="A4856" s="89"/>
    </row>
    <row r="4857" spans="1:1">
      <c r="A4857" s="90"/>
    </row>
    <row r="4858" spans="1:1">
      <c r="A4858" s="90"/>
    </row>
    <row r="4859" spans="1:1">
      <c r="A4859" s="90"/>
    </row>
    <row r="4860" spans="1:1">
      <c r="A4860" s="90"/>
    </row>
    <row r="4861" spans="1:1">
      <c r="A4861" s="89"/>
    </row>
    <row r="4862" spans="1:1">
      <c r="A4862" s="90"/>
    </row>
    <row r="4863" spans="1:1">
      <c r="A4863" s="90"/>
    </row>
    <row r="4864" spans="1:1">
      <c r="A4864" s="90"/>
    </row>
    <row r="4865" spans="1:1">
      <c r="A4865" s="90"/>
    </row>
    <row r="4866" spans="1:1">
      <c r="A4866" s="89"/>
    </row>
    <row r="4867" spans="1:1">
      <c r="A4867" s="90"/>
    </row>
    <row r="4868" spans="1:1">
      <c r="A4868" s="90"/>
    </row>
    <row r="4869" spans="1:1">
      <c r="A4869" s="90"/>
    </row>
    <row r="4870" spans="1:1">
      <c r="A4870" s="90"/>
    </row>
    <row r="4871" spans="1:1">
      <c r="A4871" s="89"/>
    </row>
    <row r="4872" spans="1:1">
      <c r="A4872" s="90"/>
    </row>
    <row r="4873" spans="1:1">
      <c r="A4873" s="90"/>
    </row>
    <row r="4874" spans="1:1">
      <c r="A4874" s="89"/>
    </row>
    <row r="4875" spans="1:1">
      <c r="A4875" s="90"/>
    </row>
    <row r="4876" spans="1:1">
      <c r="A4876" s="90"/>
    </row>
    <row r="4877" spans="1:1">
      <c r="A4877" s="89"/>
    </row>
    <row r="4878" spans="1:1">
      <c r="A4878" s="90"/>
    </row>
    <row r="4879" spans="1:1">
      <c r="A4879" s="90"/>
    </row>
    <row r="4880" spans="1:1">
      <c r="A4880" s="90"/>
    </row>
    <row r="4881" spans="1:1">
      <c r="A4881" s="90"/>
    </row>
    <row r="4882" spans="1:1">
      <c r="A4882" s="89"/>
    </row>
    <row r="4883" spans="1:1">
      <c r="A4883" s="90"/>
    </row>
    <row r="4884" spans="1:1">
      <c r="A4884" s="90"/>
    </row>
    <row r="4885" spans="1:1">
      <c r="A4885" s="90"/>
    </row>
    <row r="4886" spans="1:1">
      <c r="A4886" s="90"/>
    </row>
    <row r="4887" spans="1:1">
      <c r="A4887" s="89"/>
    </row>
    <row r="4888" spans="1:1">
      <c r="A4888" s="90"/>
    </row>
    <row r="4889" spans="1:1">
      <c r="A4889" s="90"/>
    </row>
    <row r="4890" spans="1:1">
      <c r="A4890" s="90"/>
    </row>
    <row r="4891" spans="1:1">
      <c r="A4891" s="90"/>
    </row>
    <row r="4892" spans="1:1">
      <c r="A4892" s="89"/>
    </row>
    <row r="4893" spans="1:1">
      <c r="A4893" s="90"/>
    </row>
    <row r="4894" spans="1:1">
      <c r="A4894" s="90"/>
    </row>
    <row r="4895" spans="1:1">
      <c r="A4895" s="90"/>
    </row>
    <row r="4896" spans="1:1">
      <c r="A4896" s="90"/>
    </row>
    <row r="4897" spans="1:1">
      <c r="A4897" s="89"/>
    </row>
    <row r="4898" spans="1:1">
      <c r="A4898" s="90"/>
    </row>
    <row r="4899" spans="1:1">
      <c r="A4899" s="90"/>
    </row>
    <row r="4900" spans="1:1">
      <c r="A4900" s="90"/>
    </row>
    <row r="4901" spans="1:1">
      <c r="A4901" s="90"/>
    </row>
    <row r="4902" spans="1:1">
      <c r="A4902" s="89"/>
    </row>
    <row r="4903" spans="1:1">
      <c r="A4903" s="90"/>
    </row>
    <row r="4904" spans="1:1">
      <c r="A4904" s="90"/>
    </row>
    <row r="4905" spans="1:1">
      <c r="A4905" s="90"/>
    </row>
    <row r="4906" spans="1:1">
      <c r="A4906" s="90"/>
    </row>
    <row r="4907" spans="1:1">
      <c r="A4907" s="89"/>
    </row>
    <row r="4908" spans="1:1">
      <c r="A4908" s="90"/>
    </row>
    <row r="4909" spans="1:1">
      <c r="A4909" s="90"/>
    </row>
    <row r="4910" spans="1:1">
      <c r="A4910" s="90"/>
    </row>
    <row r="4911" spans="1:1">
      <c r="A4911" s="90"/>
    </row>
    <row r="4912" spans="1:1">
      <c r="A4912" s="89"/>
    </row>
    <row r="4913" spans="1:1">
      <c r="A4913" s="90"/>
    </row>
    <row r="4914" spans="1:1">
      <c r="A4914" s="90"/>
    </row>
    <row r="4915" spans="1:1">
      <c r="A4915" s="89"/>
    </row>
    <row r="4916" spans="1:1">
      <c r="A4916" s="90"/>
    </row>
    <row r="4917" spans="1:1">
      <c r="A4917" s="90"/>
    </row>
    <row r="4918" spans="1:1">
      <c r="A4918" s="90"/>
    </row>
    <row r="4919" spans="1:1">
      <c r="A4919" s="90"/>
    </row>
    <row r="4920" spans="1:1">
      <c r="A4920" s="90"/>
    </row>
    <row r="4921" spans="1:1">
      <c r="A4921" s="90"/>
    </row>
    <row r="4922" spans="1:1">
      <c r="A4922" s="90"/>
    </row>
    <row r="4923" spans="1:1">
      <c r="A4923" s="89"/>
    </row>
    <row r="4924" spans="1:1">
      <c r="A4924" s="90"/>
    </row>
    <row r="4925" spans="1:1">
      <c r="A4925" s="90"/>
    </row>
    <row r="4926" spans="1:1">
      <c r="A4926" s="90"/>
    </row>
    <row r="4927" spans="1:1">
      <c r="A4927" s="90"/>
    </row>
    <row r="4928" spans="1:1">
      <c r="A4928" s="90"/>
    </row>
    <row r="4929" spans="1:1">
      <c r="A4929" s="90"/>
    </row>
    <row r="4930" spans="1:1">
      <c r="A4930" s="90"/>
    </row>
    <row r="4931" spans="1:1">
      <c r="A4931" s="90"/>
    </row>
    <row r="4932" spans="1:1">
      <c r="A4932" s="90"/>
    </row>
    <row r="4933" spans="1:1">
      <c r="A4933" s="90"/>
    </row>
    <row r="4934" spans="1:1">
      <c r="A4934" s="90"/>
    </row>
    <row r="4935" spans="1:1">
      <c r="A4935" s="90"/>
    </row>
    <row r="4936" spans="1:1">
      <c r="A4936" s="89"/>
    </row>
    <row r="4937" spans="1:1">
      <c r="A4937" s="90"/>
    </row>
    <row r="4938" spans="1:1">
      <c r="A4938" s="89"/>
    </row>
    <row r="4939" spans="1:1">
      <c r="A4939" s="90"/>
    </row>
    <row r="4940" spans="1:1">
      <c r="A4940" s="90"/>
    </row>
    <row r="4941" spans="1:1">
      <c r="A4941" s="90"/>
    </row>
    <row r="4942" spans="1:1">
      <c r="A4942" s="90"/>
    </row>
    <row r="4943" spans="1:1">
      <c r="A4943" s="90"/>
    </row>
    <row r="4944" spans="1:1">
      <c r="A4944" s="90"/>
    </row>
    <row r="4945" spans="1:1">
      <c r="A4945" s="90"/>
    </row>
    <row r="4946" spans="1:1">
      <c r="A4946" s="90"/>
    </row>
    <row r="4947" spans="1:1">
      <c r="A4947" s="90"/>
    </row>
    <row r="4948" spans="1:1">
      <c r="A4948" s="90"/>
    </row>
    <row r="4949" spans="1:1">
      <c r="A4949" s="90"/>
    </row>
    <row r="4950" spans="1:1">
      <c r="A4950" s="90"/>
    </row>
    <row r="4951" spans="1:1">
      <c r="A4951" s="90"/>
    </row>
    <row r="4952" spans="1:1">
      <c r="A4952" s="90"/>
    </row>
    <row r="4953" spans="1:1">
      <c r="A4953" s="90"/>
    </row>
    <row r="4954" spans="1:1">
      <c r="A4954" s="90"/>
    </row>
    <row r="4955" spans="1:1">
      <c r="A4955" s="90"/>
    </row>
    <row r="4956" spans="1:1">
      <c r="A4956" s="90"/>
    </row>
    <row r="4957" spans="1:1">
      <c r="A4957" s="90"/>
    </row>
    <row r="4958" spans="1:1">
      <c r="A4958" s="90"/>
    </row>
    <row r="4959" spans="1:1">
      <c r="A4959" s="90"/>
    </row>
    <row r="4960" spans="1:1">
      <c r="A4960" s="90"/>
    </row>
    <row r="4961" spans="1:1">
      <c r="A4961" s="90"/>
    </row>
    <row r="4962" spans="1:1">
      <c r="A4962" s="90"/>
    </row>
    <row r="4963" spans="1:1">
      <c r="A4963" s="90"/>
    </row>
    <row r="4964" spans="1:1">
      <c r="A4964" s="90"/>
    </row>
    <row r="4965" spans="1:1">
      <c r="A4965" s="90"/>
    </row>
    <row r="4966" spans="1:1">
      <c r="A4966" s="90"/>
    </row>
    <row r="4967" spans="1:1">
      <c r="A4967" s="89"/>
    </row>
    <row r="4968" spans="1:1">
      <c r="A4968" s="90"/>
    </row>
    <row r="4969" spans="1:1">
      <c r="A4969" s="90"/>
    </row>
    <row r="4970" spans="1:1">
      <c r="A4970" s="90"/>
    </row>
    <row r="4971" spans="1:1">
      <c r="A4971" s="89"/>
    </row>
    <row r="4972" spans="1:1">
      <c r="A4972" s="90"/>
    </row>
    <row r="4973" spans="1:1">
      <c r="A4973" s="90"/>
    </row>
    <row r="4974" spans="1:1">
      <c r="A4974" s="90"/>
    </row>
    <row r="4975" spans="1:1">
      <c r="A4975" s="90"/>
    </row>
    <row r="4976" spans="1:1">
      <c r="A4976" s="90"/>
    </row>
    <row r="4977" spans="1:1">
      <c r="A4977" s="90"/>
    </row>
    <row r="4978" spans="1:1">
      <c r="A4978" s="90"/>
    </row>
    <row r="4979" spans="1:1">
      <c r="A4979" s="90"/>
    </row>
    <row r="4980" spans="1:1">
      <c r="A4980" s="90"/>
    </row>
    <row r="4981" spans="1:1">
      <c r="A4981" s="90"/>
    </row>
    <row r="4982" spans="1:1">
      <c r="A4982" s="89"/>
    </row>
    <row r="4983" spans="1:1">
      <c r="A4983" s="90"/>
    </row>
    <row r="4984" spans="1:1">
      <c r="A4984" s="90"/>
    </row>
    <row r="4985" spans="1:1">
      <c r="A4985" s="90"/>
    </row>
    <row r="4986" spans="1:1">
      <c r="A4986" s="90"/>
    </row>
    <row r="4987" spans="1:1">
      <c r="A4987" s="90"/>
    </row>
    <row r="4988" spans="1:1">
      <c r="A4988" s="90"/>
    </row>
    <row r="4989" spans="1:1">
      <c r="A4989" s="90"/>
    </row>
    <row r="4990" spans="1:1">
      <c r="A4990" s="90"/>
    </row>
    <row r="4991" spans="1:1">
      <c r="A4991" s="90"/>
    </row>
    <row r="4992" spans="1:1">
      <c r="A4992" s="89"/>
    </row>
    <row r="4993" spans="1:1">
      <c r="A4993" s="90"/>
    </row>
    <row r="4994" spans="1:1">
      <c r="A4994" s="90"/>
    </row>
    <row r="4995" spans="1:1">
      <c r="A4995" s="90"/>
    </row>
    <row r="4996" spans="1:1">
      <c r="A4996" s="89"/>
    </row>
    <row r="4997" spans="1:1">
      <c r="A4997" s="90"/>
    </row>
    <row r="4998" spans="1:1">
      <c r="A4998" s="89"/>
    </row>
    <row r="4999" spans="1:1">
      <c r="A4999" s="90"/>
    </row>
    <row r="5000" spans="1:1">
      <c r="A5000" s="90"/>
    </row>
    <row r="5001" spans="1:1">
      <c r="A5001" s="90"/>
    </row>
    <row r="5002" spans="1:1">
      <c r="A5002" s="90"/>
    </row>
    <row r="5003" spans="1:1">
      <c r="A5003" s="90"/>
    </row>
    <row r="5004" spans="1:1">
      <c r="A5004" s="90"/>
    </row>
    <row r="5005" spans="1:1">
      <c r="A5005" s="90"/>
    </row>
    <row r="5006" spans="1:1">
      <c r="A5006" s="90"/>
    </row>
    <row r="5007" spans="1:1">
      <c r="A5007" s="90"/>
    </row>
    <row r="5008" spans="1:1">
      <c r="A5008" s="90"/>
    </row>
    <row r="5009" spans="1:1">
      <c r="A5009" s="90"/>
    </row>
    <row r="5010" spans="1:1">
      <c r="A5010" s="90"/>
    </row>
    <row r="5011" spans="1:1">
      <c r="A5011" s="90"/>
    </row>
    <row r="5012" spans="1:1">
      <c r="A5012" s="90"/>
    </row>
    <row r="5013" spans="1:1">
      <c r="A5013" s="90"/>
    </row>
    <row r="5014" spans="1:1">
      <c r="A5014" s="90"/>
    </row>
    <row r="5015" spans="1:1">
      <c r="A5015" s="90"/>
    </row>
    <row r="5016" spans="1:1">
      <c r="A5016" s="90"/>
    </row>
    <row r="5017" spans="1:1">
      <c r="A5017" s="89"/>
    </row>
    <row r="5018" spans="1:1">
      <c r="A5018" s="90"/>
    </row>
    <row r="5019" spans="1:1">
      <c r="A5019" s="90"/>
    </row>
    <row r="5020" spans="1:1">
      <c r="A5020" s="90"/>
    </row>
    <row r="5021" spans="1:1">
      <c r="A5021" s="90"/>
    </row>
    <row r="5022" spans="1:1">
      <c r="A5022" s="90"/>
    </row>
    <row r="5023" spans="1:1">
      <c r="A5023" s="90"/>
    </row>
    <row r="5024" spans="1:1">
      <c r="A5024" s="90"/>
    </row>
    <row r="5025" spans="1:1">
      <c r="A5025" s="89"/>
    </row>
    <row r="5026" spans="1:1">
      <c r="A5026" s="90"/>
    </row>
    <row r="5027" spans="1:1">
      <c r="A5027" s="90"/>
    </row>
    <row r="5028" spans="1:1">
      <c r="A5028" s="90"/>
    </row>
    <row r="5029" spans="1:1">
      <c r="A5029" s="90"/>
    </row>
    <row r="5030" spans="1:1">
      <c r="A5030" s="90"/>
    </row>
    <row r="5031" spans="1:1">
      <c r="A5031" s="90"/>
    </row>
    <row r="5032" spans="1:1">
      <c r="A5032" s="90"/>
    </row>
    <row r="5033" spans="1:1">
      <c r="A5033" s="90"/>
    </row>
    <row r="5034" spans="1:1">
      <c r="A5034" s="90"/>
    </row>
    <row r="5035" spans="1:1">
      <c r="A5035" s="90"/>
    </row>
    <row r="5036" spans="1:1">
      <c r="A5036" s="90"/>
    </row>
    <row r="5037" spans="1:1">
      <c r="A5037" s="90"/>
    </row>
    <row r="5038" spans="1:1">
      <c r="A5038" s="90"/>
    </row>
    <row r="5039" spans="1:1">
      <c r="A5039" s="90"/>
    </row>
    <row r="5040" spans="1:1">
      <c r="A5040" s="90"/>
    </row>
    <row r="5041" spans="1:1">
      <c r="A5041" s="90"/>
    </row>
    <row r="5042" spans="1:1">
      <c r="A5042" s="90"/>
    </row>
    <row r="5043" spans="1:1">
      <c r="A5043" s="90"/>
    </row>
    <row r="5044" spans="1:1">
      <c r="A5044" s="90"/>
    </row>
    <row r="5045" spans="1:1">
      <c r="A5045" s="90"/>
    </row>
    <row r="5046" spans="1:1">
      <c r="A5046" s="90"/>
    </row>
    <row r="5047" spans="1:1">
      <c r="A5047" s="90"/>
    </row>
    <row r="5048" spans="1:1">
      <c r="A5048" s="89"/>
    </row>
    <row r="5049" spans="1:1">
      <c r="A5049" s="90"/>
    </row>
    <row r="5050" spans="1:1">
      <c r="A5050" s="90"/>
    </row>
    <row r="5051" spans="1:1">
      <c r="A5051" s="90"/>
    </row>
  </sheetData>
  <mergeCells count="2">
    <mergeCell ref="B3:C3"/>
    <mergeCell ref="B9:C9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"/>
  <sheetViews>
    <sheetView tabSelected="1" workbookViewId="0">
      <selection activeCell="G13" sqref="G13"/>
    </sheetView>
  </sheetViews>
  <sheetFormatPr defaultRowHeight="15"/>
  <cols>
    <col min="3" max="3" width="14.140625" customWidth="1"/>
    <col min="4" max="4" width="12.28515625" customWidth="1"/>
  </cols>
  <sheetData>
    <row r="2" spans="2:4">
      <c r="C2" t="s">
        <v>581</v>
      </c>
      <c r="D2" t="s">
        <v>582</v>
      </c>
    </row>
    <row r="3" spans="2:4">
      <c r="B3" s="173" t="s">
        <v>579</v>
      </c>
      <c r="C3" t="s">
        <v>580</v>
      </c>
      <c r="D3" t="s">
        <v>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5"/>
  <sheetViews>
    <sheetView zoomScale="85" zoomScaleNormal="85" workbookViewId="0">
      <pane xSplit="2" ySplit="8" topLeftCell="C9" activePane="bottomRight" state="frozen"/>
      <selection pane="topRight" activeCell="E1" sqref="E1"/>
      <selection pane="bottomLeft" activeCell="A12" sqref="A12"/>
      <selection pane="bottomRight" activeCell="S39" sqref="S39"/>
    </sheetView>
  </sheetViews>
  <sheetFormatPr defaultColWidth="9" defaultRowHeight="15"/>
  <cols>
    <col min="1" max="1" width="29.140625" style="7" customWidth="1"/>
    <col min="2" max="2" width="21" style="7" customWidth="1"/>
    <col min="3" max="3" width="9.7109375" style="5" customWidth="1"/>
    <col min="4" max="4" width="22.85546875" style="8" customWidth="1"/>
    <col min="5" max="5" width="9.7109375" style="5" customWidth="1"/>
    <col min="6" max="6" width="21.140625" style="8" customWidth="1"/>
    <col min="7" max="7" width="9.7109375" style="5" customWidth="1"/>
    <col min="8" max="8" width="21.85546875" style="8" customWidth="1"/>
    <col min="9" max="9" width="9.7109375" style="5" customWidth="1"/>
    <col min="10" max="10" width="22.7109375" style="8" customWidth="1"/>
    <col min="11" max="11" width="9.7109375" style="5" customWidth="1"/>
    <col min="12" max="12" width="26.5703125" style="8" customWidth="1"/>
    <col min="13" max="16384" width="9" style="12"/>
  </cols>
  <sheetData>
    <row r="1" spans="1:12" ht="14.25" customHeight="1" thickBot="1">
      <c r="A1" s="51"/>
      <c r="B1" s="51"/>
      <c r="C1" s="12" t="s">
        <v>165</v>
      </c>
      <c r="D1" s="13"/>
      <c r="E1" s="12" t="s">
        <v>166</v>
      </c>
      <c r="F1" s="13"/>
      <c r="G1" s="12" t="s">
        <v>167</v>
      </c>
      <c r="H1" s="13"/>
      <c r="I1" s="12" t="s">
        <v>165</v>
      </c>
      <c r="J1" s="13"/>
      <c r="K1" s="12" t="s">
        <v>167</v>
      </c>
      <c r="L1" s="13"/>
    </row>
    <row r="2" spans="1:12" ht="15" customHeight="1">
      <c r="A2" s="156" t="s">
        <v>27</v>
      </c>
      <c r="B2" s="157"/>
      <c r="C2" s="148" t="str">
        <f>C11&amp;" x "&amp;(C12)&amp;" "&amp;ROUND(C13,1)&amp;"fps"&amp;" "&amp;ROUND(C8, 0)&amp;IF(RIGHT(D64, 1)="1", "Msps", "Mbps")&amp;IF(VALUE(RIGHT(D51,1))&gt;1," ("&amp;RIGHT(D51,1)&amp;"-bin)","")</f>
        <v>3648 x 2736 30fps 1800Mbps</v>
      </c>
      <c r="D2" s="149"/>
      <c r="E2" s="148" t="str">
        <f>E11&amp;" x "&amp;(E12)&amp;" "&amp;ROUND(E13,1)&amp;"fps"&amp;" "&amp;ROUND(E8, 0)&amp;IF(RIGHT(F64, 1)="1", "Msps", "Mbps")&amp;IF(VALUE(RIGHT(F51,1))&gt;1," ("&amp;RIGHT(F51,1)&amp;"-bin)","")</f>
        <v>3648 x 2052 30fps 1800Mbps</v>
      </c>
      <c r="F2" s="149"/>
      <c r="G2" s="148" t="str">
        <f>G11&amp;" x "&amp;(G12)&amp;" "&amp;ROUND(G13,1)&amp;"fps"&amp;" "&amp;ROUND(G8, 0)&amp;IF(RIGHT(H64, 1)="1", "Msps", "Mbps")&amp;IF(VALUE(RIGHT(H51,1))&gt;1," ("&amp;RIGHT(H51,1)&amp;"-bin)","")</f>
        <v>3648 x 2052 60.1fps 1800Mbps</v>
      </c>
      <c r="H2" s="149"/>
      <c r="I2" s="148" t="str">
        <f>I11&amp;" x "&amp;(I12)&amp;" "&amp;ROUND(I13,1)&amp;"fps"&amp;" "&amp;ROUND(I8, 0)&amp;IF(RIGHT(J64, 1)="1", "Msps", "Mbps")&amp;IF(VALUE(RIGHT(J51,1))&gt;1," ("&amp;RIGHT(J51,1)&amp;"-bin)","")</f>
        <v>3648 x 2736 30fps 1440Mbps</v>
      </c>
      <c r="J2" s="149"/>
      <c r="K2" s="148" t="str">
        <f>K11&amp;" x "&amp;(K12)&amp;" "&amp;ROUND(K13,1)&amp;"fps"&amp;" "&amp;ROUND(K8, 0)&amp;IF(RIGHT(L64, 1)="1", "Msps", "Mbps")&amp;IF(VALUE(RIGHT(L51,1))&gt;1," ("&amp;RIGHT(L51,1)&amp;"-bin)","")</f>
        <v>3648 x 2052 60.1fps 1440Mbps</v>
      </c>
      <c r="L2" s="149"/>
    </row>
    <row r="3" spans="1:12" s="43" customFormat="1" ht="15" customHeight="1">
      <c r="A3" s="158"/>
      <c r="B3" s="159"/>
      <c r="C3" s="150"/>
      <c r="D3" s="151"/>
      <c r="E3" s="150"/>
      <c r="F3" s="151"/>
      <c r="G3" s="150"/>
      <c r="H3" s="151"/>
      <c r="I3" s="150"/>
      <c r="J3" s="151"/>
      <c r="K3" s="150"/>
      <c r="L3" s="151"/>
    </row>
    <row r="4" spans="1:12" ht="31.5" customHeight="1" thickBot="1">
      <c r="A4" s="160" t="s">
        <v>46</v>
      </c>
      <c r="B4" s="161"/>
      <c r="C4" s="152" t="s">
        <v>535</v>
      </c>
      <c r="D4" s="153"/>
      <c r="E4" s="152" t="s">
        <v>536</v>
      </c>
      <c r="F4" s="162"/>
      <c r="G4" s="152" t="s">
        <v>536</v>
      </c>
      <c r="H4" s="153"/>
      <c r="I4" s="152" t="s">
        <v>535</v>
      </c>
      <c r="J4" s="153"/>
      <c r="K4" s="152" t="s">
        <v>536</v>
      </c>
      <c r="L4" s="153"/>
    </row>
    <row r="5" spans="1:12">
      <c r="A5" s="169" t="s">
        <v>28</v>
      </c>
      <c r="B5" s="170"/>
      <c r="C5" s="33">
        <f>(HEX2DEC(D24)/256) + HEX2DEC(D25)/1000</f>
        <v>24</v>
      </c>
      <c r="D5" s="45" t="s">
        <v>29</v>
      </c>
      <c r="E5" s="33">
        <f>(HEX2DEC(F24)/256) + HEX2DEC(F25)/1000</f>
        <v>24</v>
      </c>
      <c r="F5" s="45" t="s">
        <v>29</v>
      </c>
      <c r="G5" s="33">
        <f>(HEX2DEC(H24)/256) + HEX2DEC(H25)/1000</f>
        <v>24</v>
      </c>
      <c r="H5" s="45" t="s">
        <v>29</v>
      </c>
      <c r="I5" s="33">
        <f>(HEX2DEC(J24)/256) + HEX2DEC(J25)/1000</f>
        <v>24</v>
      </c>
      <c r="J5" s="45" t="s">
        <v>29</v>
      </c>
      <c r="K5" s="33">
        <f>(HEX2DEC(L24)/256) + HEX2DEC(L25)/1000</f>
        <v>24</v>
      </c>
      <c r="L5" s="45" t="s">
        <v>29</v>
      </c>
    </row>
    <row r="6" spans="1:12" ht="15.75" customHeight="1">
      <c r="A6" s="163" t="s">
        <v>30</v>
      </c>
      <c r="B6" s="164"/>
      <c r="C6" s="14" t="str">
        <f>FIXED(C5/HEX2DEC(D26)*(HEX2DEC(D27))/(2^(HEX2DEC(D28)))/HEX2DEC(D29)/HEX2DEC(D30)*4, 1, TRUE)</f>
        <v>796.0</v>
      </c>
      <c r="D6" s="46" t="s">
        <v>29</v>
      </c>
      <c r="E6" s="14" t="str">
        <f>FIXED(E5/HEX2DEC(F26)*(HEX2DEC(F27))/(2^(HEX2DEC(F28)))/HEX2DEC(F29)/HEX2DEC(F30)*4, 1, TRUE)</f>
        <v>796.0</v>
      </c>
      <c r="F6" s="46" t="s">
        <v>29</v>
      </c>
      <c r="G6" s="14" t="str">
        <f>FIXED(G5/HEX2DEC(H26)*(HEX2DEC(H27))/(2^(HEX2DEC(H28)))/HEX2DEC(H29)/HEX2DEC(H30)*4, 1, TRUE)</f>
        <v>796.0</v>
      </c>
      <c r="H6" s="46" t="s">
        <v>29</v>
      </c>
      <c r="I6" s="14" t="str">
        <f>FIXED(I5/HEX2DEC(J26)*(HEX2DEC(J27))/(2^(HEX2DEC(J28)))/HEX2DEC(J29)/HEX2DEC(J30)*4, 1, TRUE)</f>
        <v>796.0</v>
      </c>
      <c r="J6" s="46" t="s">
        <v>29</v>
      </c>
      <c r="K6" s="14" t="str">
        <f>FIXED(K5/HEX2DEC(L26)*(HEX2DEC(L27))/(2^(HEX2DEC(L28)))/HEX2DEC(L29)/HEX2DEC(L30)*4, 1, TRUE)</f>
        <v>796.0</v>
      </c>
      <c r="L6" s="46" t="s">
        <v>29</v>
      </c>
    </row>
    <row r="7" spans="1:12">
      <c r="A7" s="18"/>
      <c r="B7" s="124" t="s">
        <v>31</v>
      </c>
      <c r="C7" s="31" t="str">
        <f xml:space="preserve"> FIXED( C5/HEX2DEC(D31)*HEX2DEC(D32) *2 / ROUNDDOWN( C5/HEX2DEC(D31)*HEX2DEC(D32)*2 / (HEX2DEC(D37&amp;D38)/1000) / 4, 0) / 4, 1)</f>
        <v>150.0</v>
      </c>
      <c r="D7" s="46" t="s">
        <v>29</v>
      </c>
      <c r="E7" s="31" t="str">
        <f xml:space="preserve"> FIXED( E5/HEX2DEC(F31)*HEX2DEC(F32) *2 / ROUNDDOWN( E5/HEX2DEC(F31)*HEX2DEC(F32)*2 / (HEX2DEC(F37&amp;F38)/1000) / 4, 0) / 4, 1)</f>
        <v>150.0</v>
      </c>
      <c r="F7" s="46" t="s">
        <v>29</v>
      </c>
      <c r="G7" s="31" t="str">
        <f xml:space="preserve"> FIXED( G5/HEX2DEC(H31)*HEX2DEC(H32) *2 / ROUNDDOWN( G5/HEX2DEC(H31)*HEX2DEC(H32)*2 / (HEX2DEC(H37&amp;H38)/1000) / 4, 0) / 4, 1)</f>
        <v>150.0</v>
      </c>
      <c r="H7" s="46" t="s">
        <v>29</v>
      </c>
      <c r="I7" s="31" t="str">
        <f xml:space="preserve"> FIXED( I5/HEX2DEC(J31)*HEX2DEC(J32) *2 / ROUNDDOWN( I5/HEX2DEC(J31)*HEX2DEC(J32)*2 / (HEX2DEC(J37&amp;J38)/1000) / 4, 0) / 4, 1)</f>
        <v>180.0</v>
      </c>
      <c r="J7" s="46" t="s">
        <v>29</v>
      </c>
      <c r="K7" s="31" t="str">
        <f xml:space="preserve"> FIXED( K5/HEX2DEC(L31)*HEX2DEC(L32) *2 / ROUNDDOWN( K5/HEX2DEC(L31)*HEX2DEC(L32)*2 / (HEX2DEC(L37&amp;L38)/1000) / 4, 0) / 4, 1)</f>
        <v>180.0</v>
      </c>
      <c r="L7" s="46" t="s">
        <v>29</v>
      </c>
    </row>
    <row r="8" spans="1:12" s="44" customFormat="1">
      <c r="A8" s="167" t="s">
        <v>12</v>
      </c>
      <c r="B8" s="168"/>
      <c r="C8" s="34">
        <f>C5/HEX2DEC(D31)*HEX2DEC(D32)/(2^(HEX2DEC(D33))) * 2</f>
        <v>1800</v>
      </c>
      <c r="D8" s="47" t="str">
        <f t="shared" ref="D8" si="0">IF(LEFT(C15, 1)="C", "Msps/lane", "Mbps/lane")</f>
        <v>Mbps/lane</v>
      </c>
      <c r="E8" s="34">
        <f>E5/HEX2DEC(F31)*HEX2DEC(F32)/(2^(HEX2DEC(F33))) * 2</f>
        <v>1800</v>
      </c>
      <c r="F8" s="47" t="str">
        <f t="shared" ref="F8" si="1">IF(LEFT(E15, 1)="C", "Msps/lane", "Mbps/lane")</f>
        <v>Mbps/lane</v>
      </c>
      <c r="G8" s="34">
        <f>G5/HEX2DEC(H31)*HEX2DEC(H32)/(2^(HEX2DEC(H33))) * 2</f>
        <v>1800</v>
      </c>
      <c r="H8" s="47" t="str">
        <f t="shared" ref="H8" si="2">IF(LEFT(G15, 1)="C", "Msps/lane", "Mbps/lane")</f>
        <v>Mbps/lane</v>
      </c>
      <c r="I8" s="34">
        <f>I5/HEX2DEC(J31)*HEX2DEC(J32)/(2^(HEX2DEC(J33))) * 2</f>
        <v>1440</v>
      </c>
      <c r="J8" s="47" t="str">
        <f t="shared" ref="J8" si="3">IF(LEFT(I15, 1)="C", "Msps/lane", "Mbps/lane")</f>
        <v>Mbps/lane</v>
      </c>
      <c r="K8" s="34">
        <f>K5/HEX2DEC(L31)*HEX2DEC(L32)/(2^(HEX2DEC(L33))) * 2</f>
        <v>1440</v>
      </c>
      <c r="L8" s="47" t="str">
        <f t="shared" ref="L8" si="4">IF(LEFT(K15, 1)="C", "Msps/lane", "Mbps/lane")</f>
        <v>Mbps/lane</v>
      </c>
    </row>
    <row r="9" spans="1:12">
      <c r="A9" s="163" t="s">
        <v>32</v>
      </c>
      <c r="B9" s="164"/>
      <c r="C9" s="14">
        <f>HEX2DEC(D40)-HEX2DEC(D39)+1</f>
        <v>3664</v>
      </c>
      <c r="D9" s="48" t="s">
        <v>13</v>
      </c>
      <c r="E9" s="14">
        <f>HEX2DEC(F40)-HEX2DEC(F39)+1</f>
        <v>3664</v>
      </c>
      <c r="F9" s="48" t="s">
        <v>13</v>
      </c>
      <c r="G9" s="14">
        <f>HEX2DEC(H40)-HEX2DEC(H39)+1</f>
        <v>3664</v>
      </c>
      <c r="H9" s="48" t="s">
        <v>13</v>
      </c>
      <c r="I9" s="14">
        <f>HEX2DEC(J40)-HEX2DEC(J39)+1</f>
        <v>3664</v>
      </c>
      <c r="J9" s="48" t="s">
        <v>13</v>
      </c>
      <c r="K9" s="14">
        <f>HEX2DEC(L40)-HEX2DEC(L39)+1</f>
        <v>3664</v>
      </c>
      <c r="L9" s="48" t="s">
        <v>13</v>
      </c>
    </row>
    <row r="10" spans="1:12">
      <c r="A10" s="163" t="s">
        <v>33</v>
      </c>
      <c r="B10" s="164"/>
      <c r="C10" s="14">
        <f>HEX2DEC(D42)-HEX2DEC(D41)+1</f>
        <v>2752</v>
      </c>
      <c r="D10" s="48" t="s">
        <v>13</v>
      </c>
      <c r="E10" s="14">
        <f>HEX2DEC(F42)-HEX2DEC(F41)+1</f>
        <v>2080</v>
      </c>
      <c r="F10" s="48" t="s">
        <v>13</v>
      </c>
      <c r="G10" s="14">
        <f>HEX2DEC(H42)-HEX2DEC(H41)+1</f>
        <v>2080</v>
      </c>
      <c r="H10" s="48" t="s">
        <v>13</v>
      </c>
      <c r="I10" s="14">
        <f>HEX2DEC(J42)-HEX2DEC(J41)+1</f>
        <v>2752</v>
      </c>
      <c r="J10" s="48" t="s">
        <v>13</v>
      </c>
      <c r="K10" s="14">
        <f>HEX2DEC(L42)-HEX2DEC(L41)+1</f>
        <v>2080</v>
      </c>
      <c r="L10" s="48" t="s">
        <v>13</v>
      </c>
    </row>
    <row r="11" spans="1:12">
      <c r="A11" s="163" t="s">
        <v>34</v>
      </c>
      <c r="B11" s="164"/>
      <c r="C11" s="14">
        <f>HEX2DEC(D45)</f>
        <v>3648</v>
      </c>
      <c r="D11" s="48" t="s">
        <v>13</v>
      </c>
      <c r="E11" s="14">
        <f>HEX2DEC(F45)</f>
        <v>3648</v>
      </c>
      <c r="F11" s="48" t="s">
        <v>13</v>
      </c>
      <c r="G11" s="14">
        <f>HEX2DEC(H45)</f>
        <v>3648</v>
      </c>
      <c r="H11" s="48" t="s">
        <v>13</v>
      </c>
      <c r="I11" s="14">
        <f>HEX2DEC(J45)</f>
        <v>3648</v>
      </c>
      <c r="J11" s="48" t="s">
        <v>13</v>
      </c>
      <c r="K11" s="14">
        <f>HEX2DEC(L45)</f>
        <v>3648</v>
      </c>
      <c r="L11" s="48" t="s">
        <v>13</v>
      </c>
    </row>
    <row r="12" spans="1:12">
      <c r="A12" s="163" t="s">
        <v>35</v>
      </c>
      <c r="B12" s="164"/>
      <c r="C12" s="14">
        <f>HEX2DEC(D46)</f>
        <v>2736</v>
      </c>
      <c r="D12" s="48" t="s">
        <v>13</v>
      </c>
      <c r="E12" s="14">
        <f>HEX2DEC(F46)</f>
        <v>2052</v>
      </c>
      <c r="F12" s="48" t="s">
        <v>13</v>
      </c>
      <c r="G12" s="14">
        <f>HEX2DEC(H46)</f>
        <v>2052</v>
      </c>
      <c r="H12" s="48" t="s">
        <v>13</v>
      </c>
      <c r="I12" s="14">
        <f>HEX2DEC(J46)</f>
        <v>2736</v>
      </c>
      <c r="J12" s="48" t="s">
        <v>13</v>
      </c>
      <c r="K12" s="14">
        <f>HEX2DEC(L46)</f>
        <v>2052</v>
      </c>
      <c r="L12" s="48" t="s">
        <v>13</v>
      </c>
    </row>
    <row r="13" spans="1:12">
      <c r="A13" s="163" t="s">
        <v>36</v>
      </c>
      <c r="B13" s="164"/>
      <c r="C13" s="31">
        <f>ROUND(C6/C16/C18*1000000,2)</f>
        <v>30.03</v>
      </c>
      <c r="D13" s="48" t="s">
        <v>37</v>
      </c>
      <c r="E13" s="31">
        <f>ROUND(E6/E16/E18*1000000,2)</f>
        <v>30.03</v>
      </c>
      <c r="F13" s="48" t="s">
        <v>37</v>
      </c>
      <c r="G13" s="31">
        <f>ROUND(G6/G16/G18*1000000,2)</f>
        <v>60.09</v>
      </c>
      <c r="H13" s="48" t="s">
        <v>37</v>
      </c>
      <c r="I13" s="31">
        <f>ROUND(I6/I16/I18*1000000,2)</f>
        <v>30.03</v>
      </c>
      <c r="J13" s="48" t="s">
        <v>37</v>
      </c>
      <c r="K13" s="31">
        <f>ROUND(K6/K16/K18*1000000,2)</f>
        <v>60.08</v>
      </c>
      <c r="L13" s="48" t="s">
        <v>37</v>
      </c>
    </row>
    <row r="14" spans="1:12">
      <c r="A14" s="171" t="s">
        <v>38</v>
      </c>
      <c r="B14" s="172"/>
      <c r="C14" s="14" t="s">
        <v>39</v>
      </c>
      <c r="D14" s="48"/>
      <c r="E14" s="14" t="s">
        <v>39</v>
      </c>
      <c r="F14" s="48"/>
      <c r="G14" s="14" t="s">
        <v>39</v>
      </c>
      <c r="H14" s="48"/>
      <c r="I14" s="14" t="s">
        <v>39</v>
      </c>
      <c r="J14" s="48"/>
      <c r="K14" s="14" t="s">
        <v>39</v>
      </c>
      <c r="L14" s="48"/>
    </row>
    <row r="15" spans="1:12">
      <c r="A15" s="36"/>
      <c r="B15" s="125" t="s">
        <v>47</v>
      </c>
      <c r="C15" s="14" t="str">
        <f>IF(RIGHT(D64, 2)="01", "Cphy, ", "Dphy, ")&amp;HEX2DEC(LEFT(D61, 2))+1</f>
        <v>Dphy, 4</v>
      </c>
      <c r="D15" s="48" t="s">
        <v>40</v>
      </c>
      <c r="E15" s="14" t="str">
        <f>IF(RIGHT(F64, 2)="01", "Cphy, ", "Dphy, ")&amp;HEX2DEC(LEFT(F61, 2))+1</f>
        <v>Dphy, 4</v>
      </c>
      <c r="F15" s="48" t="s">
        <v>40</v>
      </c>
      <c r="G15" s="14" t="str">
        <f>IF(RIGHT(H64, 2)="01", "Cphy, ", "Dphy, ")&amp;HEX2DEC(LEFT(H61, 2))+1</f>
        <v>Dphy, 4</v>
      </c>
      <c r="H15" s="48" t="s">
        <v>40</v>
      </c>
      <c r="I15" s="14" t="str">
        <f>IF(RIGHT(J64, 2)="01", "Cphy, ", "Dphy, ")&amp;HEX2DEC(LEFT(J61, 2))+1</f>
        <v>Dphy, 4</v>
      </c>
      <c r="J15" s="48" t="s">
        <v>40</v>
      </c>
      <c r="K15" s="14" t="str">
        <f>IF(RIGHT(L64, 2)="01", "Cphy, ", "Dphy, ")&amp;HEX2DEC(LEFT(L61, 2))+1</f>
        <v>Dphy, 4</v>
      </c>
      <c r="L15" s="48" t="s">
        <v>40</v>
      </c>
    </row>
    <row r="16" spans="1:12">
      <c r="A16" s="163" t="s">
        <v>41</v>
      </c>
      <c r="B16" s="164"/>
      <c r="C16" s="85">
        <f>HEX2DEC(D57) * POWER(2, HEX2DEC(RIGHT(D59, 2)))</f>
        <v>5056</v>
      </c>
      <c r="D16" s="48" t="s">
        <v>13</v>
      </c>
      <c r="E16" s="85">
        <f>HEX2DEC(F57) * POWER(2, HEX2DEC(RIGHT(F59, 2)))</f>
        <v>5056</v>
      </c>
      <c r="F16" s="48" t="s">
        <v>13</v>
      </c>
      <c r="G16" s="85">
        <f>HEX2DEC(H57) * POWER(2, HEX2DEC(RIGHT(H59, 2)))</f>
        <v>5056</v>
      </c>
      <c r="H16" s="48" t="s">
        <v>13</v>
      </c>
      <c r="I16" s="85">
        <f>HEX2DEC(J57) * POWER(2, HEX2DEC(RIGHT(J59, 2)))</f>
        <v>5760</v>
      </c>
      <c r="J16" s="48" t="s">
        <v>13</v>
      </c>
      <c r="K16" s="85">
        <f>HEX2DEC(L57) * POWER(2, HEX2DEC(RIGHT(L59, 2)))</f>
        <v>5760</v>
      </c>
      <c r="L16" s="48" t="s">
        <v>13</v>
      </c>
    </row>
    <row r="17" spans="1:12">
      <c r="A17" s="163" t="s">
        <v>42</v>
      </c>
      <c r="B17" s="164"/>
      <c r="C17" s="14">
        <f>C16-C11</f>
        <v>1408</v>
      </c>
      <c r="D17" s="48" t="s">
        <v>13</v>
      </c>
      <c r="E17" s="14">
        <f>E16-E11</f>
        <v>1408</v>
      </c>
      <c r="F17" s="48" t="s">
        <v>13</v>
      </c>
      <c r="G17" s="14">
        <f>G16-G11</f>
        <v>1408</v>
      </c>
      <c r="H17" s="48" t="s">
        <v>13</v>
      </c>
      <c r="I17" s="14">
        <f>I16-I11</f>
        <v>2112</v>
      </c>
      <c r="J17" s="48" t="s">
        <v>13</v>
      </c>
      <c r="K17" s="14">
        <f>K16-K11</f>
        <v>2112</v>
      </c>
      <c r="L17" s="48" t="s">
        <v>13</v>
      </c>
    </row>
    <row r="18" spans="1:12">
      <c r="A18" s="163" t="s">
        <v>43</v>
      </c>
      <c r="B18" s="164"/>
      <c r="C18" s="14">
        <f>HEX2DEC(D58)</f>
        <v>5242</v>
      </c>
      <c r="D18" s="48" t="s">
        <v>44</v>
      </c>
      <c r="E18" s="14">
        <f>HEX2DEC(F58)</f>
        <v>5242</v>
      </c>
      <c r="F18" s="48" t="s">
        <v>44</v>
      </c>
      <c r="G18" s="14">
        <f>HEX2DEC(H58)</f>
        <v>2620</v>
      </c>
      <c r="H18" s="48" t="s">
        <v>44</v>
      </c>
      <c r="I18" s="14">
        <f>HEX2DEC(J58)</f>
        <v>4602</v>
      </c>
      <c r="J18" s="48" t="s">
        <v>44</v>
      </c>
      <c r="K18" s="14">
        <f>HEX2DEC(L58)</f>
        <v>2300</v>
      </c>
      <c r="L18" s="48" t="s">
        <v>44</v>
      </c>
    </row>
    <row r="19" spans="1:12">
      <c r="A19" s="163" t="s">
        <v>541</v>
      </c>
      <c r="B19" s="164"/>
      <c r="C19" s="85">
        <f>C18-C12 - HEX2DEC(D44)*2 - 68</f>
        <v>2422</v>
      </c>
      <c r="D19" s="48" t="s">
        <v>44</v>
      </c>
      <c r="E19" s="85">
        <f>E18-E12 - HEX2DEC(F44)*2 - 68</f>
        <v>3094</v>
      </c>
      <c r="F19" s="48" t="s">
        <v>44</v>
      </c>
      <c r="G19" s="85">
        <f>G18-G12 - HEX2DEC(H44)*2 - 68</f>
        <v>472</v>
      </c>
      <c r="H19" s="48" t="s">
        <v>44</v>
      </c>
      <c r="I19" s="85">
        <f>I18-I12 - HEX2DEC(J44)*2 - 68</f>
        <v>1782</v>
      </c>
      <c r="J19" s="48" t="s">
        <v>44</v>
      </c>
      <c r="K19" s="85">
        <f>K18-K12 - HEX2DEC(L44)*2 - 68</f>
        <v>152</v>
      </c>
      <c r="L19" s="48" t="s">
        <v>44</v>
      </c>
    </row>
    <row r="20" spans="1:12">
      <c r="A20" s="18"/>
      <c r="B20" s="124" t="s">
        <v>540</v>
      </c>
      <c r="C20" s="35">
        <f>C19*C16/C6/1000</f>
        <v>15.383959798994974</v>
      </c>
      <c r="D20" s="48" t="s">
        <v>20</v>
      </c>
      <c r="E20" s="35">
        <f>E19*E16/E6/1000</f>
        <v>19.652341708542714</v>
      </c>
      <c r="F20" s="48" t="s">
        <v>20</v>
      </c>
      <c r="G20" s="35">
        <f>G19*G16/G6/1000</f>
        <v>2.998030150753769</v>
      </c>
      <c r="H20" s="48" t="s">
        <v>20</v>
      </c>
      <c r="I20" s="35">
        <f>I19*I16/I6/1000</f>
        <v>12.894874371859295</v>
      </c>
      <c r="J20" s="48" t="s">
        <v>20</v>
      </c>
      <c r="K20" s="35">
        <f>K19*K16/K6/1000</f>
        <v>1.0998994974874372</v>
      </c>
      <c r="L20" s="48" t="s">
        <v>20</v>
      </c>
    </row>
    <row r="21" spans="1:12" ht="15.75" thickBot="1">
      <c r="A21" s="165" t="s">
        <v>14</v>
      </c>
      <c r="B21" s="166"/>
      <c r="C21" s="32" t="s">
        <v>2</v>
      </c>
      <c r="D21" s="49" t="s">
        <v>15</v>
      </c>
      <c r="E21" s="32" t="s">
        <v>2</v>
      </c>
      <c r="F21" s="49" t="s">
        <v>15</v>
      </c>
      <c r="G21" s="32" t="s">
        <v>2</v>
      </c>
      <c r="H21" s="49" t="s">
        <v>15</v>
      </c>
      <c r="I21" s="32" t="s">
        <v>2</v>
      </c>
      <c r="J21" s="49" t="s">
        <v>15</v>
      </c>
      <c r="K21" s="32" t="s">
        <v>2</v>
      </c>
      <c r="L21" s="49" t="s">
        <v>15</v>
      </c>
    </row>
    <row r="22" spans="1:12">
      <c r="A22" s="9" t="s">
        <v>16</v>
      </c>
      <c r="B22" s="9" t="s">
        <v>17</v>
      </c>
      <c r="C22" s="10" t="s">
        <v>18</v>
      </c>
      <c r="D22" s="50" t="s">
        <v>26</v>
      </c>
      <c r="E22" s="10" t="s">
        <v>18</v>
      </c>
      <c r="F22" s="50" t="s">
        <v>26</v>
      </c>
      <c r="G22" s="10" t="s">
        <v>18</v>
      </c>
      <c r="H22" s="50" t="s">
        <v>26</v>
      </c>
      <c r="I22" s="10" t="s">
        <v>18</v>
      </c>
      <c r="J22" s="50" t="s">
        <v>26</v>
      </c>
      <c r="K22" s="10" t="s">
        <v>18</v>
      </c>
      <c r="L22" s="50" t="s">
        <v>26</v>
      </c>
    </row>
    <row r="23" spans="1:12" ht="15.75" thickBot="1">
      <c r="A23" s="19"/>
      <c r="B23" s="19"/>
      <c r="C23" s="77" t="s">
        <v>291</v>
      </c>
      <c r="D23" s="78" t="s">
        <v>83</v>
      </c>
      <c r="E23" s="77" t="s">
        <v>291</v>
      </c>
      <c r="F23" s="78" t="s">
        <v>83</v>
      </c>
      <c r="G23" s="77" t="s">
        <v>291</v>
      </c>
      <c r="H23" s="78" t="s">
        <v>83</v>
      </c>
      <c r="I23" s="77" t="s">
        <v>291</v>
      </c>
      <c r="J23" s="78" t="s">
        <v>83</v>
      </c>
      <c r="K23" s="77" t="s">
        <v>291</v>
      </c>
      <c r="L23" s="78" t="s">
        <v>83</v>
      </c>
    </row>
    <row r="24" spans="1:12">
      <c r="A24" s="20"/>
      <c r="B24" s="79" t="s">
        <v>84</v>
      </c>
      <c r="C24" s="52" t="s">
        <v>85</v>
      </c>
      <c r="D24" s="53" t="s">
        <v>547</v>
      </c>
      <c r="E24" s="52" t="s">
        <v>85</v>
      </c>
      <c r="F24" s="53" t="s">
        <v>547</v>
      </c>
      <c r="G24" s="52" t="s">
        <v>85</v>
      </c>
      <c r="H24" s="53" t="s">
        <v>547</v>
      </c>
      <c r="I24" s="52" t="s">
        <v>85</v>
      </c>
      <c r="J24" s="53" t="s">
        <v>547</v>
      </c>
      <c r="K24" s="52" t="s">
        <v>85</v>
      </c>
      <c r="L24" s="53" t="s">
        <v>547</v>
      </c>
    </row>
    <row r="25" spans="1:12">
      <c r="A25" s="21"/>
      <c r="B25" s="80" t="s">
        <v>49</v>
      </c>
      <c r="C25" s="54" t="s">
        <v>50</v>
      </c>
      <c r="D25" s="55" t="s">
        <v>92</v>
      </c>
      <c r="E25" s="54" t="s">
        <v>50</v>
      </c>
      <c r="F25" s="55" t="s">
        <v>92</v>
      </c>
      <c r="G25" s="54" t="s">
        <v>50</v>
      </c>
      <c r="H25" s="55" t="s">
        <v>92</v>
      </c>
      <c r="I25" s="54" t="s">
        <v>50</v>
      </c>
      <c r="J25" s="55" t="s">
        <v>92</v>
      </c>
      <c r="K25" s="54" t="s">
        <v>50</v>
      </c>
      <c r="L25" s="55" t="s">
        <v>92</v>
      </c>
    </row>
    <row r="26" spans="1:12">
      <c r="A26" s="21"/>
      <c r="B26" s="81" t="s">
        <v>86</v>
      </c>
      <c r="C26" s="56" t="s">
        <v>87</v>
      </c>
      <c r="D26" s="55" t="s">
        <v>88</v>
      </c>
      <c r="E26" s="56" t="s">
        <v>87</v>
      </c>
      <c r="F26" s="55" t="s">
        <v>88</v>
      </c>
      <c r="G26" s="56" t="s">
        <v>87</v>
      </c>
      <c r="H26" s="55" t="s">
        <v>88</v>
      </c>
      <c r="I26" s="56" t="s">
        <v>87</v>
      </c>
      <c r="J26" s="55" t="s">
        <v>88</v>
      </c>
      <c r="K26" s="56" t="s">
        <v>87</v>
      </c>
      <c r="L26" s="55" t="s">
        <v>88</v>
      </c>
    </row>
    <row r="27" spans="1:12">
      <c r="A27" s="21"/>
      <c r="B27" s="81" t="s">
        <v>90</v>
      </c>
      <c r="C27" s="56" t="s">
        <v>91</v>
      </c>
      <c r="D27" s="55" t="s">
        <v>548</v>
      </c>
      <c r="E27" s="56" t="s">
        <v>91</v>
      </c>
      <c r="F27" s="55" t="s">
        <v>548</v>
      </c>
      <c r="G27" s="56" t="s">
        <v>91</v>
      </c>
      <c r="H27" s="55" t="s">
        <v>548</v>
      </c>
      <c r="I27" s="56" t="s">
        <v>91</v>
      </c>
      <c r="J27" s="55" t="s">
        <v>548</v>
      </c>
      <c r="K27" s="56" t="s">
        <v>91</v>
      </c>
      <c r="L27" s="55" t="s">
        <v>548</v>
      </c>
    </row>
    <row r="28" spans="1:12">
      <c r="A28" s="21"/>
      <c r="B28" s="81" t="s">
        <v>52</v>
      </c>
      <c r="C28" s="56" t="s">
        <v>53</v>
      </c>
      <c r="D28" s="55" t="s">
        <v>95</v>
      </c>
      <c r="E28" s="56" t="s">
        <v>53</v>
      </c>
      <c r="F28" s="55" t="s">
        <v>95</v>
      </c>
      <c r="G28" s="56" t="s">
        <v>53</v>
      </c>
      <c r="H28" s="55" t="s">
        <v>95</v>
      </c>
      <c r="I28" s="56" t="s">
        <v>53</v>
      </c>
      <c r="J28" s="55" t="s">
        <v>95</v>
      </c>
      <c r="K28" s="56" t="s">
        <v>53</v>
      </c>
      <c r="L28" s="55" t="s">
        <v>95</v>
      </c>
    </row>
    <row r="29" spans="1:12">
      <c r="A29" s="21"/>
      <c r="B29" s="81" t="s">
        <v>93</v>
      </c>
      <c r="C29" s="56" t="s">
        <v>94</v>
      </c>
      <c r="D29" s="55" t="s">
        <v>95</v>
      </c>
      <c r="E29" s="56" t="s">
        <v>94</v>
      </c>
      <c r="F29" s="55" t="s">
        <v>95</v>
      </c>
      <c r="G29" s="56" t="s">
        <v>94</v>
      </c>
      <c r="H29" s="55" t="s">
        <v>95</v>
      </c>
      <c r="I29" s="56" t="s">
        <v>94</v>
      </c>
      <c r="J29" s="55" t="s">
        <v>95</v>
      </c>
      <c r="K29" s="56" t="s">
        <v>94</v>
      </c>
      <c r="L29" s="55" t="s">
        <v>95</v>
      </c>
    </row>
    <row r="30" spans="1:12">
      <c r="A30" s="21"/>
      <c r="B30" s="81" t="s">
        <v>96</v>
      </c>
      <c r="C30" s="56" t="s">
        <v>97</v>
      </c>
      <c r="D30" s="55" t="s">
        <v>117</v>
      </c>
      <c r="E30" s="56" t="s">
        <v>97</v>
      </c>
      <c r="F30" s="55" t="s">
        <v>117</v>
      </c>
      <c r="G30" s="56" t="s">
        <v>97</v>
      </c>
      <c r="H30" s="55" t="s">
        <v>117</v>
      </c>
      <c r="I30" s="56" t="s">
        <v>97</v>
      </c>
      <c r="J30" s="55" t="s">
        <v>117</v>
      </c>
      <c r="K30" s="56" t="s">
        <v>97</v>
      </c>
      <c r="L30" s="55" t="s">
        <v>117</v>
      </c>
    </row>
    <row r="31" spans="1:12">
      <c r="A31" s="21"/>
      <c r="B31" s="81" t="s">
        <v>55</v>
      </c>
      <c r="C31" s="56" t="s">
        <v>56</v>
      </c>
      <c r="D31" s="55" t="s">
        <v>88</v>
      </c>
      <c r="E31" s="56" t="s">
        <v>56</v>
      </c>
      <c r="F31" s="55" t="s">
        <v>88</v>
      </c>
      <c r="G31" s="56" t="s">
        <v>56</v>
      </c>
      <c r="H31" s="55" t="s">
        <v>88</v>
      </c>
      <c r="I31" s="56" t="s">
        <v>56</v>
      </c>
      <c r="J31" s="55" t="s">
        <v>88</v>
      </c>
      <c r="K31" s="56" t="s">
        <v>56</v>
      </c>
      <c r="L31" s="55" t="s">
        <v>88</v>
      </c>
    </row>
    <row r="32" spans="1:12">
      <c r="A32" s="21"/>
      <c r="B32" s="81" t="s">
        <v>99</v>
      </c>
      <c r="C32" s="56" t="s">
        <v>100</v>
      </c>
      <c r="D32" s="55" t="s">
        <v>539</v>
      </c>
      <c r="E32" s="56" t="s">
        <v>100</v>
      </c>
      <c r="F32" s="55" t="s">
        <v>539</v>
      </c>
      <c r="G32" s="56" t="s">
        <v>100</v>
      </c>
      <c r="H32" s="55" t="s">
        <v>539</v>
      </c>
      <c r="I32" s="56" t="s">
        <v>100</v>
      </c>
      <c r="J32" s="55" t="s">
        <v>570</v>
      </c>
      <c r="K32" s="56" t="s">
        <v>100</v>
      </c>
      <c r="L32" s="55" t="s">
        <v>570</v>
      </c>
    </row>
    <row r="33" spans="1:12">
      <c r="A33" s="21"/>
      <c r="B33" s="81" t="s">
        <v>101</v>
      </c>
      <c r="C33" s="56" t="s">
        <v>102</v>
      </c>
      <c r="D33" s="55" t="s">
        <v>549</v>
      </c>
      <c r="E33" s="56" t="s">
        <v>102</v>
      </c>
      <c r="F33" s="55" t="s">
        <v>549</v>
      </c>
      <c r="G33" s="56" t="s">
        <v>102</v>
      </c>
      <c r="H33" s="55" t="s">
        <v>549</v>
      </c>
      <c r="I33" s="56" t="s">
        <v>102</v>
      </c>
      <c r="J33" s="55" t="s">
        <v>3</v>
      </c>
      <c r="K33" s="56" t="s">
        <v>102</v>
      </c>
      <c r="L33" s="55" t="s">
        <v>3</v>
      </c>
    </row>
    <row r="34" spans="1:12">
      <c r="A34" s="21"/>
      <c r="B34" s="80" t="s">
        <v>57</v>
      </c>
      <c r="C34" s="54" t="s">
        <v>58</v>
      </c>
      <c r="D34" s="55" t="s">
        <v>95</v>
      </c>
      <c r="E34" s="54" t="s">
        <v>58</v>
      </c>
      <c r="F34" s="55" t="s">
        <v>95</v>
      </c>
      <c r="G34" s="54" t="s">
        <v>58</v>
      </c>
      <c r="H34" s="55" t="s">
        <v>95</v>
      </c>
      <c r="I34" s="54" t="s">
        <v>58</v>
      </c>
      <c r="J34" s="55" t="s">
        <v>95</v>
      </c>
      <c r="K34" s="54" t="s">
        <v>58</v>
      </c>
      <c r="L34" s="55" t="s">
        <v>95</v>
      </c>
    </row>
    <row r="35" spans="1:12">
      <c r="A35" s="21"/>
      <c r="B35" s="80" t="s">
        <v>103</v>
      </c>
      <c r="C35" s="54" t="s">
        <v>104</v>
      </c>
      <c r="D35" s="55" t="s">
        <v>117</v>
      </c>
      <c r="E35" s="54" t="s">
        <v>104</v>
      </c>
      <c r="F35" s="55" t="s">
        <v>117</v>
      </c>
      <c r="G35" s="54" t="s">
        <v>104</v>
      </c>
      <c r="H35" s="55" t="s">
        <v>117</v>
      </c>
      <c r="I35" s="54" t="s">
        <v>104</v>
      </c>
      <c r="J35" s="55" t="s">
        <v>117</v>
      </c>
      <c r="K35" s="54" t="s">
        <v>104</v>
      </c>
      <c r="L35" s="55" t="s">
        <v>117</v>
      </c>
    </row>
    <row r="36" spans="1:12">
      <c r="A36" s="21"/>
      <c r="B36" s="21"/>
      <c r="C36" s="54" t="s">
        <v>292</v>
      </c>
      <c r="D36" s="55" t="s">
        <v>296</v>
      </c>
      <c r="E36" s="54" t="s">
        <v>292</v>
      </c>
      <c r="F36" s="55" t="s">
        <v>296</v>
      </c>
      <c r="G36" s="54" t="s">
        <v>292</v>
      </c>
      <c r="H36" s="55" t="s">
        <v>296</v>
      </c>
      <c r="I36" s="54" t="s">
        <v>292</v>
      </c>
      <c r="J36" s="55" t="s">
        <v>296</v>
      </c>
      <c r="K36" s="54" t="s">
        <v>292</v>
      </c>
      <c r="L36" s="55" t="s">
        <v>296</v>
      </c>
    </row>
    <row r="37" spans="1:12">
      <c r="A37" s="21"/>
      <c r="B37" s="80" t="s">
        <v>220</v>
      </c>
      <c r="C37" s="54" t="s">
        <v>293</v>
      </c>
      <c r="D37" s="55" t="s">
        <v>89</v>
      </c>
      <c r="E37" s="54" t="s">
        <v>293</v>
      </c>
      <c r="F37" s="55" t="s">
        <v>89</v>
      </c>
      <c r="G37" s="54" t="s">
        <v>293</v>
      </c>
      <c r="H37" s="55" t="s">
        <v>89</v>
      </c>
      <c r="I37" s="54" t="s">
        <v>293</v>
      </c>
      <c r="J37" s="55" t="s">
        <v>89</v>
      </c>
      <c r="K37" s="54" t="s">
        <v>293</v>
      </c>
      <c r="L37" s="55" t="s">
        <v>89</v>
      </c>
    </row>
    <row r="38" spans="1:12" ht="15.75" thickBot="1">
      <c r="A38" s="23"/>
      <c r="B38" s="82" t="s">
        <v>221</v>
      </c>
      <c r="C38" s="57" t="s">
        <v>293</v>
      </c>
      <c r="D38" s="58" t="s">
        <v>297</v>
      </c>
      <c r="E38" s="57" t="s">
        <v>293</v>
      </c>
      <c r="F38" s="58" t="s">
        <v>297</v>
      </c>
      <c r="G38" s="57" t="s">
        <v>293</v>
      </c>
      <c r="H38" s="58" t="s">
        <v>297</v>
      </c>
      <c r="I38" s="57" t="s">
        <v>293</v>
      </c>
      <c r="J38" s="58" t="s">
        <v>297</v>
      </c>
      <c r="K38" s="57" t="s">
        <v>293</v>
      </c>
      <c r="L38" s="58" t="s">
        <v>297</v>
      </c>
    </row>
    <row r="39" spans="1:12">
      <c r="A39" s="24"/>
      <c r="B39" s="39" t="s">
        <v>106</v>
      </c>
      <c r="C39" s="62" t="s">
        <v>107</v>
      </c>
      <c r="D39" s="63" t="s">
        <v>527</v>
      </c>
      <c r="E39" s="62" t="s">
        <v>107</v>
      </c>
      <c r="F39" s="63" t="s">
        <v>527</v>
      </c>
      <c r="G39" s="62" t="s">
        <v>107</v>
      </c>
      <c r="H39" s="63" t="s">
        <v>527</v>
      </c>
      <c r="I39" s="62" t="s">
        <v>107</v>
      </c>
      <c r="J39" s="63" t="s">
        <v>527</v>
      </c>
      <c r="K39" s="62" t="s">
        <v>107</v>
      </c>
      <c r="L39" s="63" t="s">
        <v>527</v>
      </c>
    </row>
    <row r="40" spans="1:12">
      <c r="A40" s="24"/>
      <c r="B40" s="39" t="s">
        <v>109</v>
      </c>
      <c r="C40" s="62" t="s">
        <v>110</v>
      </c>
      <c r="D40" s="63" t="s">
        <v>528</v>
      </c>
      <c r="E40" s="62" t="s">
        <v>110</v>
      </c>
      <c r="F40" s="63" t="s">
        <v>528</v>
      </c>
      <c r="G40" s="62" t="s">
        <v>110</v>
      </c>
      <c r="H40" s="63" t="s">
        <v>528</v>
      </c>
      <c r="I40" s="62" t="s">
        <v>110</v>
      </c>
      <c r="J40" s="63" t="s">
        <v>528</v>
      </c>
      <c r="K40" s="62" t="s">
        <v>110</v>
      </c>
      <c r="L40" s="63" t="s">
        <v>528</v>
      </c>
    </row>
    <row r="41" spans="1:12">
      <c r="A41" s="24"/>
      <c r="B41" s="39" t="s">
        <v>111</v>
      </c>
      <c r="C41" s="62" t="s">
        <v>112</v>
      </c>
      <c r="D41" s="64" t="s">
        <v>105</v>
      </c>
      <c r="E41" s="62" t="s">
        <v>112</v>
      </c>
      <c r="F41" s="64" t="s">
        <v>532</v>
      </c>
      <c r="G41" s="62" t="s">
        <v>112</v>
      </c>
      <c r="H41" s="64" t="s">
        <v>532</v>
      </c>
      <c r="I41" s="62" t="s">
        <v>112</v>
      </c>
      <c r="J41" s="64" t="s">
        <v>105</v>
      </c>
      <c r="K41" s="62" t="s">
        <v>112</v>
      </c>
      <c r="L41" s="64" t="s">
        <v>532</v>
      </c>
    </row>
    <row r="42" spans="1:12">
      <c r="A42" s="24"/>
      <c r="B42" s="39" t="s">
        <v>59</v>
      </c>
      <c r="C42" s="62" t="s">
        <v>60</v>
      </c>
      <c r="D42" s="63" t="s">
        <v>529</v>
      </c>
      <c r="E42" s="62" t="s">
        <v>60</v>
      </c>
      <c r="F42" s="63" t="s">
        <v>533</v>
      </c>
      <c r="G42" s="62" t="s">
        <v>60</v>
      </c>
      <c r="H42" s="63" t="s">
        <v>533</v>
      </c>
      <c r="I42" s="62" t="s">
        <v>60</v>
      </c>
      <c r="J42" s="63" t="s">
        <v>529</v>
      </c>
      <c r="K42" s="62" t="s">
        <v>60</v>
      </c>
      <c r="L42" s="63" t="s">
        <v>533</v>
      </c>
    </row>
    <row r="43" spans="1:12">
      <c r="A43" s="24"/>
      <c r="B43" s="39" t="s">
        <v>113</v>
      </c>
      <c r="C43" s="62" t="s">
        <v>114</v>
      </c>
      <c r="D43" s="63" t="s">
        <v>98</v>
      </c>
      <c r="E43" s="62" t="s">
        <v>114</v>
      </c>
      <c r="F43" s="63" t="s">
        <v>98</v>
      </c>
      <c r="G43" s="62" t="s">
        <v>114</v>
      </c>
      <c r="H43" s="63" t="s">
        <v>98</v>
      </c>
      <c r="I43" s="62" t="s">
        <v>114</v>
      </c>
      <c r="J43" s="63" t="s">
        <v>98</v>
      </c>
      <c r="K43" s="62" t="s">
        <v>114</v>
      </c>
      <c r="L43" s="63" t="s">
        <v>98</v>
      </c>
    </row>
    <row r="44" spans="1:12">
      <c r="A44" s="24"/>
      <c r="B44" s="39" t="s">
        <v>115</v>
      </c>
      <c r="C44" s="62" t="s">
        <v>116</v>
      </c>
      <c r="D44" s="63" t="s">
        <v>98</v>
      </c>
      <c r="E44" s="62" t="s">
        <v>116</v>
      </c>
      <c r="F44" s="63" t="s">
        <v>78</v>
      </c>
      <c r="G44" s="62" t="s">
        <v>116</v>
      </c>
      <c r="H44" s="63" t="s">
        <v>78</v>
      </c>
      <c r="I44" s="62" t="s">
        <v>116</v>
      </c>
      <c r="J44" s="63" t="s">
        <v>98</v>
      </c>
      <c r="K44" s="62" t="s">
        <v>116</v>
      </c>
      <c r="L44" s="63" t="s">
        <v>78</v>
      </c>
    </row>
    <row r="45" spans="1:12">
      <c r="A45" s="24"/>
      <c r="B45" s="39" t="s">
        <v>61</v>
      </c>
      <c r="C45" s="62" t="s">
        <v>62</v>
      </c>
      <c r="D45" s="63" t="s">
        <v>530</v>
      </c>
      <c r="E45" s="62" t="s">
        <v>62</v>
      </c>
      <c r="F45" s="63" t="s">
        <v>530</v>
      </c>
      <c r="G45" s="62" t="s">
        <v>62</v>
      </c>
      <c r="H45" s="63" t="s">
        <v>530</v>
      </c>
      <c r="I45" s="62" t="s">
        <v>62</v>
      </c>
      <c r="J45" s="63" t="s">
        <v>530</v>
      </c>
      <c r="K45" s="62" t="s">
        <v>62</v>
      </c>
      <c r="L45" s="63" t="s">
        <v>530</v>
      </c>
    </row>
    <row r="46" spans="1:12" s="37" customFormat="1">
      <c r="A46" s="24"/>
      <c r="B46" s="39" t="s">
        <v>63</v>
      </c>
      <c r="C46" s="62" t="s">
        <v>64</v>
      </c>
      <c r="D46" s="63" t="s">
        <v>531</v>
      </c>
      <c r="E46" s="62" t="s">
        <v>64</v>
      </c>
      <c r="F46" s="63" t="s">
        <v>534</v>
      </c>
      <c r="G46" s="62" t="s">
        <v>64</v>
      </c>
      <c r="H46" s="63" t="s">
        <v>534</v>
      </c>
      <c r="I46" s="62" t="s">
        <v>64</v>
      </c>
      <c r="J46" s="63" t="s">
        <v>531</v>
      </c>
      <c r="K46" s="62" t="s">
        <v>64</v>
      </c>
      <c r="L46" s="63" t="s">
        <v>534</v>
      </c>
    </row>
    <row r="47" spans="1:12">
      <c r="A47" s="22"/>
      <c r="B47" s="22"/>
      <c r="C47" s="116" t="s">
        <v>292</v>
      </c>
      <c r="D47" s="117" t="s">
        <v>185</v>
      </c>
      <c r="E47" s="116" t="s">
        <v>292</v>
      </c>
      <c r="F47" s="117" t="s">
        <v>185</v>
      </c>
      <c r="G47" s="116" t="s">
        <v>292</v>
      </c>
      <c r="H47" s="117" t="s">
        <v>185</v>
      </c>
      <c r="I47" s="131" t="s">
        <v>292</v>
      </c>
      <c r="J47" s="132" t="s">
        <v>185</v>
      </c>
      <c r="K47" s="131" t="s">
        <v>292</v>
      </c>
      <c r="L47" s="132" t="s">
        <v>185</v>
      </c>
    </row>
    <row r="48" spans="1:12">
      <c r="A48" s="22"/>
      <c r="B48" s="111" t="s">
        <v>247</v>
      </c>
      <c r="C48" s="116" t="s">
        <v>293</v>
      </c>
      <c r="D48" s="117" t="s">
        <v>530</v>
      </c>
      <c r="E48" s="116" t="s">
        <v>293</v>
      </c>
      <c r="F48" s="117" t="s">
        <v>530</v>
      </c>
      <c r="G48" s="116" t="s">
        <v>293</v>
      </c>
      <c r="H48" s="117" t="s">
        <v>530</v>
      </c>
      <c r="I48" s="131" t="s">
        <v>293</v>
      </c>
      <c r="J48" s="132" t="s">
        <v>530</v>
      </c>
      <c r="K48" s="131" t="s">
        <v>293</v>
      </c>
      <c r="L48" s="132" t="s">
        <v>530</v>
      </c>
    </row>
    <row r="49" spans="1:12">
      <c r="A49" s="22"/>
      <c r="B49" s="22"/>
      <c r="C49" s="116" t="s">
        <v>292</v>
      </c>
      <c r="D49" s="117" t="s">
        <v>186</v>
      </c>
      <c r="E49" s="116" t="s">
        <v>292</v>
      </c>
      <c r="F49" s="117" t="s">
        <v>186</v>
      </c>
      <c r="G49" s="116" t="s">
        <v>292</v>
      </c>
      <c r="H49" s="117" t="s">
        <v>186</v>
      </c>
      <c r="I49" s="131" t="s">
        <v>292</v>
      </c>
      <c r="J49" s="132" t="s">
        <v>186</v>
      </c>
      <c r="K49" s="131" t="s">
        <v>292</v>
      </c>
      <c r="L49" s="132" t="s">
        <v>186</v>
      </c>
    </row>
    <row r="50" spans="1:12" s="115" customFormat="1" ht="15.75" thickBot="1">
      <c r="A50" s="104"/>
      <c r="B50" s="114" t="s">
        <v>248</v>
      </c>
      <c r="C50" s="102" t="s">
        <v>293</v>
      </c>
      <c r="D50" s="103" t="s">
        <v>531</v>
      </c>
      <c r="E50" s="102" t="s">
        <v>293</v>
      </c>
      <c r="F50" s="103" t="s">
        <v>534</v>
      </c>
      <c r="G50" s="102" t="s">
        <v>293</v>
      </c>
      <c r="H50" s="103" t="s">
        <v>534</v>
      </c>
      <c r="I50" s="102" t="s">
        <v>293</v>
      </c>
      <c r="J50" s="103" t="s">
        <v>531</v>
      </c>
      <c r="K50" s="102" t="s">
        <v>293</v>
      </c>
      <c r="L50" s="103" t="s">
        <v>534</v>
      </c>
    </row>
    <row r="51" spans="1:12" ht="15" customHeight="1">
      <c r="A51" s="25"/>
      <c r="B51" s="83" t="s">
        <v>121</v>
      </c>
      <c r="C51" s="62" t="s">
        <v>120</v>
      </c>
      <c r="D51" s="63" t="s">
        <v>153</v>
      </c>
      <c r="E51" s="62" t="s">
        <v>120</v>
      </c>
      <c r="F51" s="63" t="s">
        <v>153</v>
      </c>
      <c r="G51" s="62" t="s">
        <v>120</v>
      </c>
      <c r="H51" s="63" t="s">
        <v>153</v>
      </c>
      <c r="I51" s="62" t="s">
        <v>120</v>
      </c>
      <c r="J51" s="63" t="s">
        <v>153</v>
      </c>
      <c r="K51" s="62" t="s">
        <v>120</v>
      </c>
      <c r="L51" s="63" t="s">
        <v>153</v>
      </c>
    </row>
    <row r="52" spans="1:12">
      <c r="A52" s="25"/>
      <c r="B52" s="39" t="s">
        <v>222</v>
      </c>
      <c r="C52" s="62" t="s">
        <v>151</v>
      </c>
      <c r="D52" s="63" t="s">
        <v>118</v>
      </c>
      <c r="E52" s="62" t="s">
        <v>151</v>
      </c>
      <c r="F52" s="63" t="s">
        <v>118</v>
      </c>
      <c r="G52" s="62" t="s">
        <v>151</v>
      </c>
      <c r="H52" s="63" t="s">
        <v>118</v>
      </c>
      <c r="I52" s="62" t="s">
        <v>151</v>
      </c>
      <c r="J52" s="63" t="s">
        <v>118</v>
      </c>
      <c r="K52" s="62" t="s">
        <v>151</v>
      </c>
      <c r="L52" s="63" t="s">
        <v>118</v>
      </c>
    </row>
    <row r="53" spans="1:12">
      <c r="A53" s="25"/>
      <c r="B53" s="83" t="s">
        <v>122</v>
      </c>
      <c r="C53" s="68" t="s">
        <v>123</v>
      </c>
      <c r="D53" s="63" t="s">
        <v>95</v>
      </c>
      <c r="E53" s="68" t="s">
        <v>123</v>
      </c>
      <c r="F53" s="63" t="s">
        <v>95</v>
      </c>
      <c r="G53" s="68" t="s">
        <v>123</v>
      </c>
      <c r="H53" s="63" t="s">
        <v>95</v>
      </c>
      <c r="I53" s="68" t="s">
        <v>123</v>
      </c>
      <c r="J53" s="63" t="s">
        <v>95</v>
      </c>
      <c r="K53" s="68" t="s">
        <v>123</v>
      </c>
      <c r="L53" s="63" t="s">
        <v>95</v>
      </c>
    </row>
    <row r="54" spans="1:12">
      <c r="A54" s="25"/>
      <c r="B54" s="83" t="s">
        <v>124</v>
      </c>
      <c r="C54" s="68" t="s">
        <v>125</v>
      </c>
      <c r="D54" s="63" t="s">
        <v>95</v>
      </c>
      <c r="E54" s="68" t="s">
        <v>125</v>
      </c>
      <c r="F54" s="63" t="s">
        <v>95</v>
      </c>
      <c r="G54" s="68" t="s">
        <v>125</v>
      </c>
      <c r="H54" s="63" t="s">
        <v>95</v>
      </c>
      <c r="I54" s="68" t="s">
        <v>125</v>
      </c>
      <c r="J54" s="63" t="s">
        <v>95</v>
      </c>
      <c r="K54" s="68" t="s">
        <v>125</v>
      </c>
      <c r="L54" s="63" t="s">
        <v>95</v>
      </c>
    </row>
    <row r="55" spans="1:12">
      <c r="A55" s="25"/>
      <c r="B55" s="83" t="s">
        <v>126</v>
      </c>
      <c r="C55" s="68" t="s">
        <v>127</v>
      </c>
      <c r="D55" s="63" t="s">
        <v>95</v>
      </c>
      <c r="E55" s="68" t="s">
        <v>127</v>
      </c>
      <c r="F55" s="63" t="s">
        <v>95</v>
      </c>
      <c r="G55" s="68" t="s">
        <v>127</v>
      </c>
      <c r="H55" s="63" t="s">
        <v>95</v>
      </c>
      <c r="I55" s="68" t="s">
        <v>127</v>
      </c>
      <c r="J55" s="63" t="s">
        <v>95</v>
      </c>
      <c r="K55" s="68" t="s">
        <v>127</v>
      </c>
      <c r="L55" s="63" t="s">
        <v>95</v>
      </c>
    </row>
    <row r="56" spans="1:12" ht="15.75" thickBot="1">
      <c r="A56" s="25"/>
      <c r="B56" s="39" t="s">
        <v>128</v>
      </c>
      <c r="C56" s="62" t="s">
        <v>129</v>
      </c>
      <c r="D56" s="63" t="s">
        <v>95</v>
      </c>
      <c r="E56" s="62" t="s">
        <v>129</v>
      </c>
      <c r="F56" s="63" t="s">
        <v>95</v>
      </c>
      <c r="G56" s="62" t="s">
        <v>129</v>
      </c>
      <c r="H56" s="63" t="s">
        <v>95</v>
      </c>
      <c r="I56" s="62" t="s">
        <v>129</v>
      </c>
      <c r="J56" s="63" t="s">
        <v>95</v>
      </c>
      <c r="K56" s="62" t="s">
        <v>129</v>
      </c>
      <c r="L56" s="63" t="s">
        <v>95</v>
      </c>
    </row>
    <row r="57" spans="1:12">
      <c r="A57" s="38"/>
      <c r="B57" s="84" t="s">
        <v>130</v>
      </c>
      <c r="C57" s="69" t="s">
        <v>131</v>
      </c>
      <c r="D57" s="70" t="s">
        <v>556</v>
      </c>
      <c r="E57" s="69" t="s">
        <v>131</v>
      </c>
      <c r="F57" s="70" t="s">
        <v>556</v>
      </c>
      <c r="G57" s="69" t="s">
        <v>131</v>
      </c>
      <c r="H57" s="70" t="s">
        <v>556</v>
      </c>
      <c r="I57" s="69" t="s">
        <v>131</v>
      </c>
      <c r="J57" s="70" t="s">
        <v>571</v>
      </c>
      <c r="K57" s="69" t="s">
        <v>131</v>
      </c>
      <c r="L57" s="70" t="s">
        <v>571</v>
      </c>
    </row>
    <row r="58" spans="1:12">
      <c r="A58" s="25"/>
      <c r="B58" s="83" t="s">
        <v>132</v>
      </c>
      <c r="C58" s="68" t="s">
        <v>133</v>
      </c>
      <c r="D58" s="64" t="s">
        <v>558</v>
      </c>
      <c r="E58" s="68" t="s">
        <v>133</v>
      </c>
      <c r="F58" s="64" t="s">
        <v>558</v>
      </c>
      <c r="G58" s="68" t="s">
        <v>133</v>
      </c>
      <c r="H58" s="64" t="s">
        <v>557</v>
      </c>
      <c r="I58" s="68" t="s">
        <v>133</v>
      </c>
      <c r="J58" s="64" t="s">
        <v>572</v>
      </c>
      <c r="K58" s="68" t="s">
        <v>133</v>
      </c>
      <c r="L58" s="64" t="s">
        <v>573</v>
      </c>
    </row>
    <row r="59" spans="1:12" ht="15.75" thickBot="1">
      <c r="A59" s="25"/>
      <c r="B59" s="39" t="s">
        <v>134</v>
      </c>
      <c r="C59" s="62" t="s">
        <v>135</v>
      </c>
      <c r="D59" s="64" t="s">
        <v>92</v>
      </c>
      <c r="E59" s="62" t="s">
        <v>135</v>
      </c>
      <c r="F59" s="64" t="s">
        <v>552</v>
      </c>
      <c r="G59" s="62" t="s">
        <v>135</v>
      </c>
      <c r="H59" s="64" t="s">
        <v>92</v>
      </c>
      <c r="I59" s="62" t="s">
        <v>135</v>
      </c>
      <c r="J59" s="64" t="s">
        <v>92</v>
      </c>
      <c r="K59" s="62" t="s">
        <v>135</v>
      </c>
      <c r="L59" s="64" t="s">
        <v>92</v>
      </c>
    </row>
    <row r="60" spans="1:12">
      <c r="A60" s="38"/>
      <c r="B60" s="84" t="s">
        <v>136</v>
      </c>
      <c r="C60" s="69" t="s">
        <v>137</v>
      </c>
      <c r="D60" s="70" t="s">
        <v>65</v>
      </c>
      <c r="E60" s="69" t="s">
        <v>137</v>
      </c>
      <c r="F60" s="70" t="s">
        <v>65</v>
      </c>
      <c r="G60" s="69" t="s">
        <v>137</v>
      </c>
      <c r="H60" s="70" t="s">
        <v>65</v>
      </c>
      <c r="I60" s="69" t="s">
        <v>137</v>
      </c>
      <c r="J60" s="70" t="s">
        <v>65</v>
      </c>
      <c r="K60" s="69" t="s">
        <v>137</v>
      </c>
      <c r="L60" s="70" t="s">
        <v>65</v>
      </c>
    </row>
    <row r="61" spans="1:12">
      <c r="A61" s="24"/>
      <c r="B61" s="39" t="s">
        <v>138</v>
      </c>
      <c r="C61" s="62" t="s">
        <v>139</v>
      </c>
      <c r="D61" s="63" t="s">
        <v>298</v>
      </c>
      <c r="E61" s="62" t="s">
        <v>139</v>
      </c>
      <c r="F61" s="63" t="s">
        <v>298</v>
      </c>
      <c r="G61" s="62" t="s">
        <v>139</v>
      </c>
      <c r="H61" s="63" t="s">
        <v>298</v>
      </c>
      <c r="I61" s="62" t="s">
        <v>139</v>
      </c>
      <c r="J61" s="63" t="s">
        <v>298</v>
      </c>
      <c r="K61" s="62" t="s">
        <v>139</v>
      </c>
      <c r="L61" s="63" t="s">
        <v>298</v>
      </c>
    </row>
    <row r="62" spans="1:12">
      <c r="A62" s="24"/>
      <c r="B62" s="39" t="s">
        <v>140</v>
      </c>
      <c r="C62" s="62" t="s">
        <v>141</v>
      </c>
      <c r="D62" s="63" t="s">
        <v>156</v>
      </c>
      <c r="E62" s="62" t="s">
        <v>141</v>
      </c>
      <c r="F62" s="63" t="s">
        <v>156</v>
      </c>
      <c r="G62" s="62" t="s">
        <v>141</v>
      </c>
      <c r="H62" s="63" t="s">
        <v>156</v>
      </c>
      <c r="I62" s="62" t="s">
        <v>141</v>
      </c>
      <c r="J62" s="63" t="s">
        <v>156</v>
      </c>
      <c r="K62" s="62" t="s">
        <v>141</v>
      </c>
      <c r="L62" s="63" t="s">
        <v>156</v>
      </c>
    </row>
    <row r="63" spans="1:12">
      <c r="A63" s="24"/>
      <c r="B63" s="39" t="s">
        <v>142</v>
      </c>
      <c r="C63" s="62" t="s">
        <v>143</v>
      </c>
      <c r="D63" s="63" t="s">
        <v>89</v>
      </c>
      <c r="E63" s="62" t="s">
        <v>143</v>
      </c>
      <c r="F63" s="63" t="s">
        <v>89</v>
      </c>
      <c r="G63" s="62" t="s">
        <v>143</v>
      </c>
      <c r="H63" s="63" t="s">
        <v>89</v>
      </c>
      <c r="I63" s="62" t="s">
        <v>143</v>
      </c>
      <c r="J63" s="63" t="s">
        <v>89</v>
      </c>
      <c r="K63" s="62" t="s">
        <v>143</v>
      </c>
      <c r="L63" s="63" t="s">
        <v>89</v>
      </c>
    </row>
    <row r="64" spans="1:12">
      <c r="A64" s="24"/>
      <c r="B64" s="39" t="s">
        <v>66</v>
      </c>
      <c r="C64" s="62" t="s">
        <v>67</v>
      </c>
      <c r="D64" s="63" t="s">
        <v>1</v>
      </c>
      <c r="E64" s="62" t="s">
        <v>67</v>
      </c>
      <c r="F64" s="63" t="s">
        <v>1</v>
      </c>
      <c r="G64" s="62" t="s">
        <v>67</v>
      </c>
      <c r="H64" s="63" t="s">
        <v>1</v>
      </c>
      <c r="I64" s="62" t="s">
        <v>67</v>
      </c>
      <c r="J64" s="63" t="s">
        <v>1</v>
      </c>
      <c r="K64" s="62" t="s">
        <v>67</v>
      </c>
      <c r="L64" s="63" t="s">
        <v>1</v>
      </c>
    </row>
    <row r="65" spans="1:12">
      <c r="A65" s="24"/>
      <c r="B65" s="39" t="s">
        <v>223</v>
      </c>
      <c r="C65" s="62" t="s">
        <v>294</v>
      </c>
      <c r="D65" s="63" t="s">
        <v>92</v>
      </c>
      <c r="E65" s="62" t="s">
        <v>294</v>
      </c>
      <c r="F65" s="63" t="s">
        <v>92</v>
      </c>
      <c r="G65" s="62" t="s">
        <v>294</v>
      </c>
      <c r="H65" s="63" t="s">
        <v>92</v>
      </c>
      <c r="I65" s="62" t="s">
        <v>294</v>
      </c>
      <c r="J65" s="63" t="s">
        <v>92</v>
      </c>
      <c r="K65" s="62" t="s">
        <v>294</v>
      </c>
      <c r="L65" s="63" t="s">
        <v>92</v>
      </c>
    </row>
    <row r="66" spans="1:12" ht="15.75" thickBot="1">
      <c r="A66" s="27"/>
      <c r="B66" s="66" t="s">
        <v>224</v>
      </c>
      <c r="C66" s="65" t="s">
        <v>295</v>
      </c>
      <c r="D66" s="67" t="s">
        <v>92</v>
      </c>
      <c r="E66" s="65" t="s">
        <v>295</v>
      </c>
      <c r="F66" s="67" t="s">
        <v>92</v>
      </c>
      <c r="G66" s="65" t="s">
        <v>295</v>
      </c>
      <c r="H66" s="67" t="s">
        <v>92</v>
      </c>
      <c r="I66" s="65" t="s">
        <v>295</v>
      </c>
      <c r="J66" s="67" t="s">
        <v>92</v>
      </c>
      <c r="K66" s="65" t="s">
        <v>295</v>
      </c>
      <c r="L66" s="67" t="s">
        <v>92</v>
      </c>
    </row>
    <row r="67" spans="1:12" s="37" customFormat="1">
      <c r="A67" s="24"/>
      <c r="B67" s="39" t="s">
        <v>68</v>
      </c>
      <c r="C67" s="62" t="s">
        <v>69</v>
      </c>
      <c r="D67" s="63" t="s">
        <v>144</v>
      </c>
      <c r="E67" s="62" t="s">
        <v>69</v>
      </c>
      <c r="F67" s="63" t="s">
        <v>144</v>
      </c>
      <c r="G67" s="62" t="s">
        <v>69</v>
      </c>
      <c r="H67" s="63" t="s">
        <v>144</v>
      </c>
      <c r="I67" s="62" t="s">
        <v>69</v>
      </c>
      <c r="J67" s="63" t="s">
        <v>144</v>
      </c>
      <c r="K67" s="62" t="s">
        <v>69</v>
      </c>
      <c r="L67" s="63" t="s">
        <v>144</v>
      </c>
    </row>
    <row r="68" spans="1:12" s="37" customFormat="1">
      <c r="A68" s="24"/>
      <c r="B68" s="39" t="s">
        <v>70</v>
      </c>
      <c r="C68" s="62" t="s">
        <v>71</v>
      </c>
      <c r="D68" s="63" t="s">
        <v>144</v>
      </c>
      <c r="E68" s="62" t="s">
        <v>71</v>
      </c>
      <c r="F68" s="63" t="s">
        <v>144</v>
      </c>
      <c r="G68" s="62" t="s">
        <v>71</v>
      </c>
      <c r="H68" s="63" t="s">
        <v>144</v>
      </c>
      <c r="I68" s="62" t="s">
        <v>71</v>
      </c>
      <c r="J68" s="63" t="s">
        <v>144</v>
      </c>
      <c r="K68" s="62" t="s">
        <v>71</v>
      </c>
      <c r="L68" s="63" t="s">
        <v>144</v>
      </c>
    </row>
    <row r="69" spans="1:12" s="37" customFormat="1" ht="15.75" thickBot="1">
      <c r="A69" s="24"/>
      <c r="B69" s="39" t="s">
        <v>72</v>
      </c>
      <c r="C69" s="62" t="s">
        <v>73</v>
      </c>
      <c r="D69" s="63" t="s">
        <v>144</v>
      </c>
      <c r="E69" s="62" t="s">
        <v>73</v>
      </c>
      <c r="F69" s="63" t="s">
        <v>144</v>
      </c>
      <c r="G69" s="62" t="s">
        <v>73</v>
      </c>
      <c r="H69" s="63" t="s">
        <v>144</v>
      </c>
      <c r="I69" s="62" t="s">
        <v>73</v>
      </c>
      <c r="J69" s="63" t="s">
        <v>144</v>
      </c>
      <c r="K69" s="62" t="s">
        <v>73</v>
      </c>
      <c r="L69" s="63" t="s">
        <v>144</v>
      </c>
    </row>
    <row r="70" spans="1:12">
      <c r="A70" s="26"/>
      <c r="B70" s="60" t="s">
        <v>74</v>
      </c>
      <c r="C70" s="59" t="s">
        <v>75</v>
      </c>
      <c r="D70" s="61" t="s">
        <v>144</v>
      </c>
      <c r="E70" s="59" t="s">
        <v>75</v>
      </c>
      <c r="F70" s="61" t="s">
        <v>144</v>
      </c>
      <c r="G70" s="59" t="s">
        <v>75</v>
      </c>
      <c r="H70" s="61" t="s">
        <v>144</v>
      </c>
      <c r="I70" s="59" t="s">
        <v>75</v>
      </c>
      <c r="J70" s="61" t="s">
        <v>144</v>
      </c>
      <c r="K70" s="59" t="s">
        <v>75</v>
      </c>
      <c r="L70" s="61" t="s">
        <v>144</v>
      </c>
    </row>
    <row r="71" spans="1:12" ht="15.75" thickBot="1">
      <c r="A71" s="27"/>
      <c r="B71" s="66" t="s">
        <v>76</v>
      </c>
      <c r="C71" s="65" t="s">
        <v>77</v>
      </c>
      <c r="D71" s="67" t="s">
        <v>92</v>
      </c>
      <c r="E71" s="65" t="s">
        <v>77</v>
      </c>
      <c r="F71" s="67" t="s">
        <v>92</v>
      </c>
      <c r="G71" s="65" t="s">
        <v>77</v>
      </c>
      <c r="H71" s="67" t="s">
        <v>92</v>
      </c>
      <c r="I71" s="65" t="s">
        <v>77</v>
      </c>
      <c r="J71" s="67" t="s">
        <v>92</v>
      </c>
      <c r="K71" s="65" t="s">
        <v>77</v>
      </c>
      <c r="L71" s="67" t="s">
        <v>92</v>
      </c>
    </row>
    <row r="72" spans="1:12">
      <c r="A72" s="22"/>
      <c r="B72" s="21"/>
      <c r="C72" s="116" t="s">
        <v>292</v>
      </c>
      <c r="D72" s="117" t="s">
        <v>169</v>
      </c>
      <c r="E72" s="116" t="s">
        <v>292</v>
      </c>
      <c r="F72" s="117" t="s">
        <v>169</v>
      </c>
      <c r="G72" s="116" t="s">
        <v>292</v>
      </c>
      <c r="H72" s="117" t="s">
        <v>169</v>
      </c>
      <c r="I72" s="131" t="s">
        <v>292</v>
      </c>
      <c r="J72" s="132" t="s">
        <v>169</v>
      </c>
      <c r="K72" s="131" t="s">
        <v>292</v>
      </c>
      <c r="L72" s="132" t="s">
        <v>169</v>
      </c>
    </row>
    <row r="73" spans="1:12">
      <c r="A73" s="22"/>
      <c r="B73" s="21" t="s">
        <v>225</v>
      </c>
      <c r="C73" s="116" t="s">
        <v>293</v>
      </c>
      <c r="D73" s="117" t="s">
        <v>170</v>
      </c>
      <c r="E73" s="116" t="s">
        <v>293</v>
      </c>
      <c r="F73" s="117" t="s">
        <v>170</v>
      </c>
      <c r="G73" s="116" t="s">
        <v>293</v>
      </c>
      <c r="H73" s="117" t="s">
        <v>170</v>
      </c>
      <c r="I73" s="131" t="s">
        <v>293</v>
      </c>
      <c r="J73" s="132" t="s">
        <v>170</v>
      </c>
      <c r="K73" s="131" t="s">
        <v>293</v>
      </c>
      <c r="L73" s="132" t="s">
        <v>170</v>
      </c>
    </row>
    <row r="74" spans="1:12">
      <c r="A74" s="22"/>
      <c r="B74" s="21"/>
      <c r="C74" s="116" t="s">
        <v>292</v>
      </c>
      <c r="D74" s="117" t="s">
        <v>171</v>
      </c>
      <c r="E74" s="116" t="s">
        <v>292</v>
      </c>
      <c r="F74" s="117" t="s">
        <v>171</v>
      </c>
      <c r="G74" s="116" t="s">
        <v>292</v>
      </c>
      <c r="H74" s="117" t="s">
        <v>171</v>
      </c>
      <c r="I74" s="131" t="s">
        <v>292</v>
      </c>
      <c r="J74" s="132" t="s">
        <v>171</v>
      </c>
      <c r="K74" s="131" t="s">
        <v>292</v>
      </c>
      <c r="L74" s="132" t="s">
        <v>171</v>
      </c>
    </row>
    <row r="75" spans="1:12">
      <c r="A75" s="22"/>
      <c r="B75" s="21" t="s">
        <v>226</v>
      </c>
      <c r="C75" s="116" t="s">
        <v>293</v>
      </c>
      <c r="D75" s="117" t="s">
        <v>152</v>
      </c>
      <c r="E75" s="116" t="s">
        <v>293</v>
      </c>
      <c r="F75" s="117" t="s">
        <v>152</v>
      </c>
      <c r="G75" s="116" t="s">
        <v>293</v>
      </c>
      <c r="H75" s="117" t="s">
        <v>152</v>
      </c>
      <c r="I75" s="131" t="s">
        <v>293</v>
      </c>
      <c r="J75" s="132" t="s">
        <v>152</v>
      </c>
      <c r="K75" s="131" t="s">
        <v>293</v>
      </c>
      <c r="L75" s="132" t="s">
        <v>152</v>
      </c>
    </row>
    <row r="76" spans="1:12">
      <c r="A76" s="22"/>
      <c r="B76" s="21"/>
      <c r="C76" s="116" t="s">
        <v>292</v>
      </c>
      <c r="D76" s="117" t="s">
        <v>172</v>
      </c>
      <c r="E76" s="116" t="s">
        <v>292</v>
      </c>
      <c r="F76" s="117" t="s">
        <v>172</v>
      </c>
      <c r="G76" s="116" t="s">
        <v>292</v>
      </c>
      <c r="H76" s="117" t="s">
        <v>172</v>
      </c>
      <c r="I76" s="131" t="s">
        <v>292</v>
      </c>
      <c r="J76" s="132" t="s">
        <v>172</v>
      </c>
      <c r="K76" s="131" t="s">
        <v>292</v>
      </c>
      <c r="L76" s="132" t="s">
        <v>172</v>
      </c>
    </row>
    <row r="77" spans="1:12">
      <c r="A77" s="22"/>
      <c r="B77" s="21" t="s">
        <v>227</v>
      </c>
      <c r="C77" s="116" t="s">
        <v>293</v>
      </c>
      <c r="D77" s="117" t="s">
        <v>123</v>
      </c>
      <c r="E77" s="116" t="s">
        <v>293</v>
      </c>
      <c r="F77" s="117" t="s">
        <v>123</v>
      </c>
      <c r="G77" s="116" t="s">
        <v>293</v>
      </c>
      <c r="H77" s="117" t="s">
        <v>123</v>
      </c>
      <c r="I77" s="131" t="s">
        <v>293</v>
      </c>
      <c r="J77" s="132" t="s">
        <v>123</v>
      </c>
      <c r="K77" s="131" t="s">
        <v>293</v>
      </c>
      <c r="L77" s="132" t="s">
        <v>123</v>
      </c>
    </row>
    <row r="78" spans="1:12">
      <c r="A78" s="22"/>
      <c r="B78" s="22"/>
      <c r="C78" s="116" t="s">
        <v>292</v>
      </c>
      <c r="D78" s="117" t="s">
        <v>299</v>
      </c>
      <c r="E78" s="116" t="s">
        <v>292</v>
      </c>
      <c r="F78" s="117" t="s">
        <v>299</v>
      </c>
      <c r="G78" s="116" t="s">
        <v>292</v>
      </c>
      <c r="H78" s="117" t="s">
        <v>299</v>
      </c>
      <c r="I78" s="131" t="s">
        <v>292</v>
      </c>
      <c r="J78" s="132" t="s">
        <v>299</v>
      </c>
      <c r="K78" s="131" t="s">
        <v>292</v>
      </c>
      <c r="L78" s="132" t="s">
        <v>299</v>
      </c>
    </row>
    <row r="79" spans="1:12">
      <c r="A79" s="22"/>
      <c r="B79" s="22" t="s">
        <v>228</v>
      </c>
      <c r="C79" s="116" t="s">
        <v>293</v>
      </c>
      <c r="D79" s="117" t="s">
        <v>92</v>
      </c>
      <c r="E79" s="116" t="s">
        <v>293</v>
      </c>
      <c r="F79" s="117" t="s">
        <v>92</v>
      </c>
      <c r="G79" s="116" t="s">
        <v>293</v>
      </c>
      <c r="H79" s="117" t="s">
        <v>92</v>
      </c>
      <c r="I79" s="131" t="s">
        <v>293</v>
      </c>
      <c r="J79" s="132" t="s">
        <v>92</v>
      </c>
      <c r="K79" s="131" t="s">
        <v>293</v>
      </c>
      <c r="L79" s="132" t="s">
        <v>92</v>
      </c>
    </row>
    <row r="80" spans="1:12">
      <c r="A80" s="22"/>
      <c r="B80" s="22"/>
      <c r="C80" s="116" t="s">
        <v>292</v>
      </c>
      <c r="D80" s="117" t="s">
        <v>300</v>
      </c>
      <c r="E80" s="116" t="s">
        <v>292</v>
      </c>
      <c r="F80" s="117" t="s">
        <v>300</v>
      </c>
      <c r="G80" s="116" t="s">
        <v>292</v>
      </c>
      <c r="H80" s="117" t="s">
        <v>300</v>
      </c>
      <c r="I80" s="131" t="s">
        <v>292</v>
      </c>
      <c r="J80" s="132" t="s">
        <v>300</v>
      </c>
      <c r="K80" s="131" t="s">
        <v>292</v>
      </c>
      <c r="L80" s="132" t="s">
        <v>300</v>
      </c>
    </row>
    <row r="81" spans="1:12">
      <c r="A81" s="22"/>
      <c r="B81" s="22" t="s">
        <v>229</v>
      </c>
      <c r="C81" s="116" t="s">
        <v>293</v>
      </c>
      <c r="D81" s="117" t="s">
        <v>301</v>
      </c>
      <c r="E81" s="116" t="s">
        <v>293</v>
      </c>
      <c r="F81" s="117" t="s">
        <v>301</v>
      </c>
      <c r="G81" s="116" t="s">
        <v>293</v>
      </c>
      <c r="H81" s="117" t="s">
        <v>301</v>
      </c>
      <c r="I81" s="131" t="s">
        <v>293</v>
      </c>
      <c r="J81" s="132" t="s">
        <v>301</v>
      </c>
      <c r="K81" s="131" t="s">
        <v>293</v>
      </c>
      <c r="L81" s="132" t="s">
        <v>301</v>
      </c>
    </row>
    <row r="82" spans="1:12">
      <c r="A82" s="22"/>
      <c r="B82" s="22"/>
      <c r="C82" s="116" t="s">
        <v>292</v>
      </c>
      <c r="D82" s="117" t="s">
        <v>204</v>
      </c>
      <c r="E82" s="116" t="s">
        <v>292</v>
      </c>
      <c r="F82" s="117" t="s">
        <v>204</v>
      </c>
      <c r="G82" s="116" t="s">
        <v>292</v>
      </c>
      <c r="H82" s="117" t="s">
        <v>204</v>
      </c>
      <c r="I82" s="131" t="s">
        <v>292</v>
      </c>
      <c r="J82" s="132" t="s">
        <v>204</v>
      </c>
      <c r="K82" s="131" t="s">
        <v>292</v>
      </c>
      <c r="L82" s="132" t="s">
        <v>204</v>
      </c>
    </row>
    <row r="83" spans="1:12">
      <c r="A83" s="22"/>
      <c r="B83" s="22" t="s">
        <v>277</v>
      </c>
      <c r="C83" s="116" t="s">
        <v>293</v>
      </c>
      <c r="D83" s="117" t="s">
        <v>92</v>
      </c>
      <c r="E83" s="116" t="s">
        <v>293</v>
      </c>
      <c r="F83" s="117" t="s">
        <v>92</v>
      </c>
      <c r="G83" s="116" t="s">
        <v>293</v>
      </c>
      <c r="H83" s="117" t="s">
        <v>92</v>
      </c>
      <c r="I83" s="131" t="s">
        <v>293</v>
      </c>
      <c r="J83" s="132" t="s">
        <v>92</v>
      </c>
      <c r="K83" s="131" t="s">
        <v>293</v>
      </c>
      <c r="L83" s="132" t="s">
        <v>92</v>
      </c>
    </row>
    <row r="84" spans="1:12">
      <c r="A84" s="22"/>
      <c r="B84" s="22" t="s">
        <v>278</v>
      </c>
      <c r="C84" s="116" t="s">
        <v>293</v>
      </c>
      <c r="D84" s="117" t="s">
        <v>51</v>
      </c>
      <c r="E84" s="116" t="s">
        <v>293</v>
      </c>
      <c r="F84" s="117" t="s">
        <v>51</v>
      </c>
      <c r="G84" s="116" t="s">
        <v>293</v>
      </c>
      <c r="H84" s="117" t="s">
        <v>51</v>
      </c>
      <c r="I84" s="131" t="s">
        <v>293</v>
      </c>
      <c r="J84" s="132" t="s">
        <v>51</v>
      </c>
      <c r="K84" s="131" t="s">
        <v>293</v>
      </c>
      <c r="L84" s="132" t="s">
        <v>51</v>
      </c>
    </row>
    <row r="85" spans="1:12">
      <c r="A85" s="22"/>
      <c r="B85" s="22"/>
      <c r="C85" s="116" t="s">
        <v>544</v>
      </c>
      <c r="D85" s="72" t="s">
        <v>545</v>
      </c>
      <c r="E85" s="116" t="s">
        <v>544</v>
      </c>
      <c r="F85" s="72" t="s">
        <v>545</v>
      </c>
      <c r="G85" s="116" t="s">
        <v>544</v>
      </c>
      <c r="H85" s="72" t="s">
        <v>545</v>
      </c>
      <c r="I85" s="131" t="s">
        <v>544</v>
      </c>
      <c r="J85" s="72" t="s">
        <v>545</v>
      </c>
      <c r="K85" s="131" t="s">
        <v>544</v>
      </c>
      <c r="L85" s="72" t="s">
        <v>545</v>
      </c>
    </row>
    <row r="86" spans="1:12">
      <c r="A86" s="22"/>
      <c r="B86" s="22" t="s">
        <v>281</v>
      </c>
      <c r="C86" s="116" t="s">
        <v>293</v>
      </c>
      <c r="D86" s="117" t="s">
        <v>92</v>
      </c>
      <c r="E86" s="116" t="s">
        <v>293</v>
      </c>
      <c r="F86" s="117" t="s">
        <v>92</v>
      </c>
      <c r="G86" s="116" t="s">
        <v>293</v>
      </c>
      <c r="H86" s="117" t="s">
        <v>92</v>
      </c>
      <c r="I86" s="131" t="s">
        <v>293</v>
      </c>
      <c r="J86" s="132" t="s">
        <v>92</v>
      </c>
      <c r="K86" s="131" t="s">
        <v>293</v>
      </c>
      <c r="L86" s="132" t="s">
        <v>92</v>
      </c>
    </row>
    <row r="87" spans="1:12">
      <c r="A87" s="22"/>
      <c r="B87" s="22" t="s">
        <v>282</v>
      </c>
      <c r="C87" s="116" t="s">
        <v>293</v>
      </c>
      <c r="D87" s="117" t="s">
        <v>213</v>
      </c>
      <c r="E87" s="116" t="s">
        <v>293</v>
      </c>
      <c r="F87" s="117" t="s">
        <v>213</v>
      </c>
      <c r="G87" s="116" t="s">
        <v>293</v>
      </c>
      <c r="H87" s="117" t="s">
        <v>213</v>
      </c>
      <c r="I87" s="131" t="s">
        <v>293</v>
      </c>
      <c r="J87" s="132" t="s">
        <v>213</v>
      </c>
      <c r="K87" s="131" t="s">
        <v>293</v>
      </c>
      <c r="L87" s="132" t="s">
        <v>213</v>
      </c>
    </row>
    <row r="88" spans="1:12">
      <c r="A88" s="22"/>
      <c r="B88" s="22" t="s">
        <v>283</v>
      </c>
      <c r="C88" s="116" t="s">
        <v>293</v>
      </c>
      <c r="D88" s="117" t="s">
        <v>152</v>
      </c>
      <c r="E88" s="116" t="s">
        <v>293</v>
      </c>
      <c r="F88" s="117" t="s">
        <v>152</v>
      </c>
      <c r="G88" s="116" t="s">
        <v>293</v>
      </c>
      <c r="H88" s="117" t="s">
        <v>152</v>
      </c>
      <c r="I88" s="131" t="s">
        <v>293</v>
      </c>
      <c r="J88" s="132" t="s">
        <v>152</v>
      </c>
      <c r="K88" s="131" t="s">
        <v>293</v>
      </c>
      <c r="L88" s="132" t="s">
        <v>152</v>
      </c>
    </row>
    <row r="89" spans="1:12">
      <c r="A89" s="22"/>
      <c r="B89" s="22" t="s">
        <v>284</v>
      </c>
      <c r="C89" s="116" t="s">
        <v>293</v>
      </c>
      <c r="D89" s="117" t="s">
        <v>82</v>
      </c>
      <c r="E89" s="116" t="s">
        <v>293</v>
      </c>
      <c r="F89" s="117" t="s">
        <v>82</v>
      </c>
      <c r="G89" s="116" t="s">
        <v>293</v>
      </c>
      <c r="H89" s="117" t="s">
        <v>82</v>
      </c>
      <c r="I89" s="131" t="s">
        <v>293</v>
      </c>
      <c r="J89" s="132" t="s">
        <v>82</v>
      </c>
      <c r="K89" s="131" t="s">
        <v>293</v>
      </c>
      <c r="L89" s="132" t="s">
        <v>82</v>
      </c>
    </row>
    <row r="90" spans="1:12">
      <c r="A90" s="22"/>
      <c r="B90" s="22"/>
      <c r="C90" s="116" t="s">
        <v>544</v>
      </c>
      <c r="D90" s="117">
        <v>9044</v>
      </c>
      <c r="E90" s="116" t="s">
        <v>544</v>
      </c>
      <c r="F90" s="117">
        <v>9044</v>
      </c>
      <c r="G90" s="116" t="s">
        <v>544</v>
      </c>
      <c r="H90" s="117">
        <v>9044</v>
      </c>
      <c r="I90" s="131" t="s">
        <v>544</v>
      </c>
      <c r="J90" s="132">
        <v>9044</v>
      </c>
      <c r="K90" s="131" t="s">
        <v>544</v>
      </c>
      <c r="L90" s="132">
        <v>9044</v>
      </c>
    </row>
    <row r="91" spans="1:12">
      <c r="A91" s="22"/>
      <c r="B91" s="22" t="s">
        <v>287</v>
      </c>
      <c r="C91" s="116" t="s">
        <v>293</v>
      </c>
      <c r="D91" s="117" t="s">
        <v>92</v>
      </c>
      <c r="E91" s="116" t="s">
        <v>293</v>
      </c>
      <c r="F91" s="117" t="s">
        <v>92</v>
      </c>
      <c r="G91" s="116" t="s">
        <v>293</v>
      </c>
      <c r="H91" s="117" t="s">
        <v>92</v>
      </c>
      <c r="I91" s="131" t="s">
        <v>293</v>
      </c>
      <c r="J91" s="132" t="s">
        <v>92</v>
      </c>
      <c r="K91" s="131" t="s">
        <v>293</v>
      </c>
      <c r="L91" s="132" t="s">
        <v>92</v>
      </c>
    </row>
    <row r="92" spans="1:12">
      <c r="A92" s="22"/>
      <c r="B92" s="22" t="s">
        <v>288</v>
      </c>
      <c r="C92" s="116" t="s">
        <v>293</v>
      </c>
      <c r="D92" s="117" t="s">
        <v>51</v>
      </c>
      <c r="E92" s="116" t="s">
        <v>293</v>
      </c>
      <c r="F92" s="117" t="s">
        <v>51</v>
      </c>
      <c r="G92" s="116" t="s">
        <v>293</v>
      </c>
      <c r="H92" s="117" t="s">
        <v>51</v>
      </c>
      <c r="I92" s="131" t="s">
        <v>293</v>
      </c>
      <c r="J92" s="132" t="s">
        <v>51</v>
      </c>
      <c r="K92" s="131" t="s">
        <v>293</v>
      </c>
      <c r="L92" s="132" t="s">
        <v>51</v>
      </c>
    </row>
    <row r="93" spans="1:12">
      <c r="A93" s="22"/>
      <c r="B93" s="22" t="s">
        <v>289</v>
      </c>
      <c r="C93" s="116" t="s">
        <v>293</v>
      </c>
      <c r="D93" s="117" t="s">
        <v>152</v>
      </c>
      <c r="E93" s="116" t="s">
        <v>293</v>
      </c>
      <c r="F93" s="117" t="s">
        <v>152</v>
      </c>
      <c r="G93" s="116" t="s">
        <v>293</v>
      </c>
      <c r="H93" s="117" t="s">
        <v>152</v>
      </c>
      <c r="I93" s="131" t="s">
        <v>293</v>
      </c>
      <c r="J93" s="132" t="s">
        <v>152</v>
      </c>
      <c r="K93" s="131" t="s">
        <v>293</v>
      </c>
      <c r="L93" s="132" t="s">
        <v>152</v>
      </c>
    </row>
    <row r="94" spans="1:12">
      <c r="A94" s="22"/>
      <c r="B94" s="22" t="s">
        <v>290</v>
      </c>
      <c r="C94" s="116" t="s">
        <v>293</v>
      </c>
      <c r="D94" s="117" t="s">
        <v>123</v>
      </c>
      <c r="E94" s="116" t="s">
        <v>293</v>
      </c>
      <c r="F94" s="117" t="s">
        <v>123</v>
      </c>
      <c r="G94" s="116" t="s">
        <v>293</v>
      </c>
      <c r="H94" s="117" t="s">
        <v>123</v>
      </c>
      <c r="I94" s="131" t="s">
        <v>293</v>
      </c>
      <c r="J94" s="132" t="s">
        <v>123</v>
      </c>
      <c r="K94" s="131" t="s">
        <v>293</v>
      </c>
      <c r="L94" s="132" t="s">
        <v>123</v>
      </c>
    </row>
    <row r="95" spans="1:12">
      <c r="A95" s="22"/>
      <c r="B95" s="22"/>
      <c r="C95" s="116" t="s">
        <v>292</v>
      </c>
      <c r="D95" s="117" t="s">
        <v>173</v>
      </c>
      <c r="E95" s="116" t="s">
        <v>292</v>
      </c>
      <c r="F95" s="117" t="s">
        <v>173</v>
      </c>
      <c r="G95" s="116" t="s">
        <v>292</v>
      </c>
      <c r="H95" s="117" t="s">
        <v>173</v>
      </c>
      <c r="I95" s="131" t="s">
        <v>292</v>
      </c>
      <c r="J95" s="132" t="s">
        <v>173</v>
      </c>
      <c r="K95" s="131" t="s">
        <v>292</v>
      </c>
      <c r="L95" s="132" t="s">
        <v>173</v>
      </c>
    </row>
    <row r="96" spans="1:12">
      <c r="A96" s="22"/>
      <c r="B96" s="22" t="s">
        <v>230</v>
      </c>
      <c r="C96" s="116" t="s">
        <v>293</v>
      </c>
      <c r="D96" s="117" t="s">
        <v>98</v>
      </c>
      <c r="E96" s="116" t="s">
        <v>293</v>
      </c>
      <c r="F96" s="117" t="s">
        <v>98</v>
      </c>
      <c r="G96" s="116" t="s">
        <v>293</v>
      </c>
      <c r="H96" s="117" t="s">
        <v>98</v>
      </c>
      <c r="I96" s="131" t="s">
        <v>293</v>
      </c>
      <c r="J96" s="132" t="s">
        <v>98</v>
      </c>
      <c r="K96" s="131" t="s">
        <v>293</v>
      </c>
      <c r="L96" s="132" t="s">
        <v>98</v>
      </c>
    </row>
    <row r="97" spans="1:12">
      <c r="A97" s="22"/>
      <c r="B97" s="22" t="s">
        <v>231</v>
      </c>
      <c r="C97" s="116" t="s">
        <v>293</v>
      </c>
      <c r="D97" s="117" t="s">
        <v>148</v>
      </c>
      <c r="E97" s="116" t="s">
        <v>293</v>
      </c>
      <c r="F97" s="117" t="s">
        <v>148</v>
      </c>
      <c r="G97" s="116" t="s">
        <v>293</v>
      </c>
      <c r="H97" s="117" t="s">
        <v>148</v>
      </c>
      <c r="I97" s="131" t="s">
        <v>293</v>
      </c>
      <c r="J97" s="132" t="s">
        <v>148</v>
      </c>
      <c r="K97" s="131" t="s">
        <v>293</v>
      </c>
      <c r="L97" s="132" t="s">
        <v>148</v>
      </c>
    </row>
    <row r="98" spans="1:12">
      <c r="A98" s="22"/>
      <c r="B98" s="22"/>
      <c r="C98" s="116" t="s">
        <v>292</v>
      </c>
      <c r="D98" s="117" t="s">
        <v>156</v>
      </c>
      <c r="E98" s="116" t="s">
        <v>292</v>
      </c>
      <c r="F98" s="117" t="s">
        <v>156</v>
      </c>
      <c r="G98" s="116" t="s">
        <v>292</v>
      </c>
      <c r="H98" s="117" t="s">
        <v>156</v>
      </c>
      <c r="I98" s="131" t="s">
        <v>292</v>
      </c>
      <c r="J98" s="132" t="s">
        <v>156</v>
      </c>
      <c r="K98" s="131" t="s">
        <v>292</v>
      </c>
      <c r="L98" s="132" t="s">
        <v>156</v>
      </c>
    </row>
    <row r="99" spans="1:12">
      <c r="A99" s="22"/>
      <c r="B99" s="22" t="s">
        <v>232</v>
      </c>
      <c r="C99" s="116" t="s">
        <v>293</v>
      </c>
      <c r="D99" s="117" t="s">
        <v>1</v>
      </c>
      <c r="E99" s="116" t="s">
        <v>293</v>
      </c>
      <c r="F99" s="117" t="s">
        <v>1</v>
      </c>
      <c r="G99" s="116" t="s">
        <v>293</v>
      </c>
      <c r="H99" s="117" t="s">
        <v>1</v>
      </c>
      <c r="I99" s="131" t="s">
        <v>293</v>
      </c>
      <c r="J99" s="132" t="s">
        <v>1</v>
      </c>
      <c r="K99" s="131" t="s">
        <v>293</v>
      </c>
      <c r="L99" s="132" t="s">
        <v>1</v>
      </c>
    </row>
    <row r="100" spans="1:12">
      <c r="A100" s="22"/>
      <c r="B100" s="22"/>
      <c r="C100" s="116" t="s">
        <v>292</v>
      </c>
      <c r="D100" s="117" t="s">
        <v>214</v>
      </c>
      <c r="E100" s="116" t="s">
        <v>292</v>
      </c>
      <c r="F100" s="117" t="s">
        <v>214</v>
      </c>
      <c r="G100" s="116" t="s">
        <v>292</v>
      </c>
      <c r="H100" s="117" t="s">
        <v>214</v>
      </c>
      <c r="I100" s="131" t="s">
        <v>292</v>
      </c>
      <c r="J100" s="132" t="s">
        <v>214</v>
      </c>
      <c r="K100" s="131" t="s">
        <v>292</v>
      </c>
      <c r="L100" s="132" t="s">
        <v>214</v>
      </c>
    </row>
    <row r="101" spans="1:12">
      <c r="A101" s="22"/>
      <c r="B101" s="22" t="s">
        <v>233</v>
      </c>
      <c r="C101" s="116" t="s">
        <v>293</v>
      </c>
      <c r="D101" s="117" t="s">
        <v>89</v>
      </c>
      <c r="E101" s="116" t="s">
        <v>293</v>
      </c>
      <c r="F101" s="117" t="s">
        <v>89</v>
      </c>
      <c r="G101" s="116" t="s">
        <v>293</v>
      </c>
      <c r="H101" s="117" t="s">
        <v>89</v>
      </c>
      <c r="I101" s="131" t="s">
        <v>293</v>
      </c>
      <c r="J101" s="132" t="s">
        <v>89</v>
      </c>
      <c r="K101" s="131" t="s">
        <v>293</v>
      </c>
      <c r="L101" s="132" t="s">
        <v>89</v>
      </c>
    </row>
    <row r="102" spans="1:12">
      <c r="A102" s="22"/>
      <c r="B102" s="22" t="s">
        <v>234</v>
      </c>
      <c r="C102" s="116" t="s">
        <v>293</v>
      </c>
      <c r="D102" s="117" t="s">
        <v>81</v>
      </c>
      <c r="E102" s="116" t="s">
        <v>293</v>
      </c>
      <c r="F102" s="117" t="s">
        <v>81</v>
      </c>
      <c r="G102" s="116" t="s">
        <v>293</v>
      </c>
      <c r="H102" s="117" t="s">
        <v>81</v>
      </c>
      <c r="I102" s="131" t="s">
        <v>293</v>
      </c>
      <c r="J102" s="132" t="s">
        <v>81</v>
      </c>
      <c r="K102" s="131" t="s">
        <v>293</v>
      </c>
      <c r="L102" s="132" t="s">
        <v>81</v>
      </c>
    </row>
    <row r="103" spans="1:12">
      <c r="A103" s="22"/>
      <c r="B103" s="22" t="s">
        <v>235</v>
      </c>
      <c r="C103" s="116" t="s">
        <v>293</v>
      </c>
      <c r="D103" s="117" t="s">
        <v>215</v>
      </c>
      <c r="E103" s="116" t="s">
        <v>293</v>
      </c>
      <c r="F103" s="117" t="s">
        <v>215</v>
      </c>
      <c r="G103" s="116" t="s">
        <v>293</v>
      </c>
      <c r="H103" s="117" t="s">
        <v>215</v>
      </c>
      <c r="I103" s="131" t="s">
        <v>293</v>
      </c>
      <c r="J103" s="132" t="s">
        <v>215</v>
      </c>
      <c r="K103" s="131" t="s">
        <v>293</v>
      </c>
      <c r="L103" s="132" t="s">
        <v>215</v>
      </c>
    </row>
    <row r="104" spans="1:12">
      <c r="A104" s="22"/>
      <c r="B104" s="22"/>
      <c r="C104" s="116" t="s">
        <v>292</v>
      </c>
      <c r="D104" s="117" t="s">
        <v>216</v>
      </c>
      <c r="E104" s="116" t="s">
        <v>292</v>
      </c>
      <c r="F104" s="117" t="s">
        <v>216</v>
      </c>
      <c r="G104" s="116" t="s">
        <v>292</v>
      </c>
      <c r="H104" s="117" t="s">
        <v>216</v>
      </c>
      <c r="I104" s="131" t="s">
        <v>292</v>
      </c>
      <c r="J104" s="132" t="s">
        <v>216</v>
      </c>
      <c r="K104" s="131" t="s">
        <v>292</v>
      </c>
      <c r="L104" s="132" t="s">
        <v>216</v>
      </c>
    </row>
    <row r="105" spans="1:12">
      <c r="A105" s="22"/>
      <c r="B105" s="22" t="s">
        <v>236</v>
      </c>
      <c r="C105" s="116" t="s">
        <v>293</v>
      </c>
      <c r="D105" s="117" t="s">
        <v>79</v>
      </c>
      <c r="E105" s="116" t="s">
        <v>293</v>
      </c>
      <c r="F105" s="117" t="s">
        <v>79</v>
      </c>
      <c r="G105" s="116" t="s">
        <v>293</v>
      </c>
      <c r="H105" s="117" t="s">
        <v>79</v>
      </c>
      <c r="I105" s="131" t="s">
        <v>293</v>
      </c>
      <c r="J105" s="132" t="s">
        <v>79</v>
      </c>
      <c r="K105" s="131" t="s">
        <v>293</v>
      </c>
      <c r="L105" s="132" t="s">
        <v>79</v>
      </c>
    </row>
    <row r="106" spans="1:12">
      <c r="A106" s="22"/>
      <c r="B106" s="22" t="s">
        <v>237</v>
      </c>
      <c r="C106" s="116" t="s">
        <v>293</v>
      </c>
      <c r="D106" s="117" t="s">
        <v>157</v>
      </c>
      <c r="E106" s="116" t="s">
        <v>293</v>
      </c>
      <c r="F106" s="117" t="s">
        <v>157</v>
      </c>
      <c r="G106" s="116" t="s">
        <v>293</v>
      </c>
      <c r="H106" s="117" t="s">
        <v>157</v>
      </c>
      <c r="I106" s="131" t="s">
        <v>293</v>
      </c>
      <c r="J106" s="132" t="s">
        <v>157</v>
      </c>
      <c r="K106" s="131" t="s">
        <v>293</v>
      </c>
      <c r="L106" s="132" t="s">
        <v>157</v>
      </c>
    </row>
    <row r="107" spans="1:12">
      <c r="A107" s="22"/>
      <c r="B107" s="22"/>
      <c r="C107" s="116" t="s">
        <v>292</v>
      </c>
      <c r="D107" s="117" t="s">
        <v>174</v>
      </c>
      <c r="E107" s="116" t="s">
        <v>292</v>
      </c>
      <c r="F107" s="117" t="s">
        <v>174</v>
      </c>
      <c r="G107" s="116" t="s">
        <v>292</v>
      </c>
      <c r="H107" s="117" t="s">
        <v>174</v>
      </c>
      <c r="I107" s="131" t="s">
        <v>292</v>
      </c>
      <c r="J107" s="132" t="s">
        <v>174</v>
      </c>
      <c r="K107" s="131" t="s">
        <v>292</v>
      </c>
      <c r="L107" s="132" t="s">
        <v>174</v>
      </c>
    </row>
    <row r="108" spans="1:12">
      <c r="A108" s="22"/>
      <c r="B108" s="22" t="s">
        <v>238</v>
      </c>
      <c r="C108" s="116" t="s">
        <v>293</v>
      </c>
      <c r="D108" s="117" t="s">
        <v>175</v>
      </c>
      <c r="E108" s="116" t="s">
        <v>293</v>
      </c>
      <c r="F108" s="117" t="s">
        <v>175</v>
      </c>
      <c r="G108" s="116" t="s">
        <v>293</v>
      </c>
      <c r="H108" s="117" t="s">
        <v>175</v>
      </c>
      <c r="I108" s="131" t="s">
        <v>293</v>
      </c>
      <c r="J108" s="132" t="s">
        <v>175</v>
      </c>
      <c r="K108" s="131" t="s">
        <v>293</v>
      </c>
      <c r="L108" s="132" t="s">
        <v>175</v>
      </c>
    </row>
    <row r="109" spans="1:12">
      <c r="A109" s="22"/>
      <c r="B109" s="22"/>
      <c r="C109" s="116" t="s">
        <v>292</v>
      </c>
      <c r="D109" s="117" t="s">
        <v>176</v>
      </c>
      <c r="E109" s="116" t="s">
        <v>292</v>
      </c>
      <c r="F109" s="117" t="s">
        <v>176</v>
      </c>
      <c r="G109" s="116" t="s">
        <v>292</v>
      </c>
      <c r="H109" s="117" t="s">
        <v>176</v>
      </c>
      <c r="I109" s="131" t="s">
        <v>292</v>
      </c>
      <c r="J109" s="132" t="s">
        <v>176</v>
      </c>
      <c r="K109" s="131" t="s">
        <v>292</v>
      </c>
      <c r="L109" s="132" t="s">
        <v>176</v>
      </c>
    </row>
    <row r="110" spans="1:12">
      <c r="A110" s="22"/>
      <c r="B110" s="22" t="s">
        <v>239</v>
      </c>
      <c r="C110" s="116" t="s">
        <v>293</v>
      </c>
      <c r="D110" s="117" t="s">
        <v>1</v>
      </c>
      <c r="E110" s="116" t="s">
        <v>293</v>
      </c>
      <c r="F110" s="117" t="s">
        <v>1</v>
      </c>
      <c r="G110" s="116" t="s">
        <v>293</v>
      </c>
      <c r="H110" s="117" t="s">
        <v>1</v>
      </c>
      <c r="I110" s="131" t="s">
        <v>293</v>
      </c>
      <c r="J110" s="132" t="s">
        <v>1</v>
      </c>
      <c r="K110" s="131" t="s">
        <v>293</v>
      </c>
      <c r="L110" s="132" t="s">
        <v>1</v>
      </c>
    </row>
    <row r="111" spans="1:12">
      <c r="A111" s="22"/>
      <c r="B111" s="22"/>
      <c r="C111" s="116" t="s">
        <v>292</v>
      </c>
      <c r="D111" s="117" t="s">
        <v>177</v>
      </c>
      <c r="E111" s="116" t="s">
        <v>292</v>
      </c>
      <c r="F111" s="117" t="s">
        <v>177</v>
      </c>
      <c r="G111" s="116" t="s">
        <v>292</v>
      </c>
      <c r="H111" s="117" t="s">
        <v>177</v>
      </c>
      <c r="I111" s="131" t="s">
        <v>292</v>
      </c>
      <c r="J111" s="132" t="s">
        <v>177</v>
      </c>
      <c r="K111" s="131" t="s">
        <v>292</v>
      </c>
      <c r="L111" s="132" t="s">
        <v>177</v>
      </c>
    </row>
    <row r="112" spans="1:12">
      <c r="A112" s="22"/>
      <c r="B112" s="22" t="s">
        <v>240</v>
      </c>
      <c r="C112" s="116" t="s">
        <v>293</v>
      </c>
      <c r="D112" s="117" t="s">
        <v>168</v>
      </c>
      <c r="E112" s="116" t="s">
        <v>293</v>
      </c>
      <c r="F112" s="117" t="s">
        <v>168</v>
      </c>
      <c r="G112" s="116" t="s">
        <v>293</v>
      </c>
      <c r="H112" s="117" t="s">
        <v>168</v>
      </c>
      <c r="I112" s="131" t="s">
        <v>293</v>
      </c>
      <c r="J112" s="132" t="s">
        <v>168</v>
      </c>
      <c r="K112" s="131" t="s">
        <v>293</v>
      </c>
      <c r="L112" s="132" t="s">
        <v>168</v>
      </c>
    </row>
    <row r="113" spans="1:12">
      <c r="A113" s="22"/>
      <c r="B113" s="22" t="s">
        <v>241</v>
      </c>
      <c r="C113" s="116" t="s">
        <v>293</v>
      </c>
      <c r="D113" s="117" t="s">
        <v>162</v>
      </c>
      <c r="E113" s="116" t="s">
        <v>293</v>
      </c>
      <c r="F113" s="117" t="s">
        <v>162</v>
      </c>
      <c r="G113" s="116" t="s">
        <v>293</v>
      </c>
      <c r="H113" s="117" t="s">
        <v>162</v>
      </c>
      <c r="I113" s="131" t="s">
        <v>293</v>
      </c>
      <c r="J113" s="132" t="s">
        <v>162</v>
      </c>
      <c r="K113" s="131" t="s">
        <v>293</v>
      </c>
      <c r="L113" s="132" t="s">
        <v>162</v>
      </c>
    </row>
    <row r="114" spans="1:12">
      <c r="A114" s="22"/>
      <c r="B114" s="22"/>
      <c r="C114" s="116" t="s">
        <v>292</v>
      </c>
      <c r="D114" s="117" t="s">
        <v>179</v>
      </c>
      <c r="E114" s="116" t="s">
        <v>292</v>
      </c>
      <c r="F114" s="117" t="s">
        <v>179</v>
      </c>
      <c r="G114" s="116" t="s">
        <v>292</v>
      </c>
      <c r="H114" s="117" t="s">
        <v>179</v>
      </c>
      <c r="I114" s="131" t="s">
        <v>292</v>
      </c>
      <c r="J114" s="132" t="s">
        <v>179</v>
      </c>
      <c r="K114" s="131" t="s">
        <v>292</v>
      </c>
      <c r="L114" s="132" t="s">
        <v>179</v>
      </c>
    </row>
    <row r="115" spans="1:12">
      <c r="A115" s="22"/>
      <c r="B115" s="22" t="s">
        <v>242</v>
      </c>
      <c r="C115" s="116" t="s">
        <v>293</v>
      </c>
      <c r="D115" s="117" t="s">
        <v>180</v>
      </c>
      <c r="E115" s="116" t="s">
        <v>293</v>
      </c>
      <c r="F115" s="117" t="s">
        <v>180</v>
      </c>
      <c r="G115" s="116" t="s">
        <v>293</v>
      </c>
      <c r="H115" s="117" t="s">
        <v>180</v>
      </c>
      <c r="I115" s="131" t="s">
        <v>293</v>
      </c>
      <c r="J115" s="132" t="s">
        <v>180</v>
      </c>
      <c r="K115" s="131" t="s">
        <v>293</v>
      </c>
      <c r="L115" s="132" t="s">
        <v>180</v>
      </c>
    </row>
    <row r="116" spans="1:12">
      <c r="A116" s="22"/>
      <c r="B116" s="22"/>
      <c r="C116" s="116" t="s">
        <v>292</v>
      </c>
      <c r="D116" s="117" t="s">
        <v>181</v>
      </c>
      <c r="E116" s="116" t="s">
        <v>292</v>
      </c>
      <c r="F116" s="117" t="s">
        <v>181</v>
      </c>
      <c r="G116" s="116" t="s">
        <v>292</v>
      </c>
      <c r="H116" s="117" t="s">
        <v>181</v>
      </c>
      <c r="I116" s="131" t="s">
        <v>292</v>
      </c>
      <c r="J116" s="132" t="s">
        <v>181</v>
      </c>
      <c r="K116" s="131" t="s">
        <v>292</v>
      </c>
      <c r="L116" s="132" t="s">
        <v>181</v>
      </c>
    </row>
    <row r="117" spans="1:12">
      <c r="A117" s="22"/>
      <c r="B117" s="22" t="s">
        <v>243</v>
      </c>
      <c r="C117" s="116" t="s">
        <v>293</v>
      </c>
      <c r="D117" s="117" t="s">
        <v>92</v>
      </c>
      <c r="E117" s="116" t="s">
        <v>293</v>
      </c>
      <c r="F117" s="117" t="s">
        <v>92</v>
      </c>
      <c r="G117" s="116" t="s">
        <v>293</v>
      </c>
      <c r="H117" s="117" t="s">
        <v>92</v>
      </c>
      <c r="I117" s="131" t="s">
        <v>293</v>
      </c>
      <c r="J117" s="132" t="s">
        <v>92</v>
      </c>
      <c r="K117" s="131" t="s">
        <v>293</v>
      </c>
      <c r="L117" s="132" t="s">
        <v>92</v>
      </c>
    </row>
    <row r="118" spans="1:12">
      <c r="A118" s="22"/>
      <c r="B118" s="22"/>
      <c r="C118" s="116" t="s">
        <v>292</v>
      </c>
      <c r="D118" s="117" t="s">
        <v>182</v>
      </c>
      <c r="E118" s="116" t="s">
        <v>292</v>
      </c>
      <c r="F118" s="117" t="s">
        <v>182</v>
      </c>
      <c r="G118" s="116" t="s">
        <v>292</v>
      </c>
      <c r="H118" s="117" t="s">
        <v>182</v>
      </c>
      <c r="I118" s="131" t="s">
        <v>292</v>
      </c>
      <c r="J118" s="132" t="s">
        <v>182</v>
      </c>
      <c r="K118" s="131" t="s">
        <v>292</v>
      </c>
      <c r="L118" s="132" t="s">
        <v>182</v>
      </c>
    </row>
    <row r="119" spans="1:12">
      <c r="A119" s="22"/>
      <c r="B119" s="22" t="s">
        <v>244</v>
      </c>
      <c r="C119" s="116" t="s">
        <v>293</v>
      </c>
      <c r="D119" s="117" t="s">
        <v>183</v>
      </c>
      <c r="E119" s="116" t="s">
        <v>293</v>
      </c>
      <c r="F119" s="117" t="s">
        <v>183</v>
      </c>
      <c r="G119" s="116" t="s">
        <v>293</v>
      </c>
      <c r="H119" s="117" t="s">
        <v>183</v>
      </c>
      <c r="I119" s="131" t="s">
        <v>293</v>
      </c>
      <c r="J119" s="132" t="s">
        <v>183</v>
      </c>
      <c r="K119" s="131" t="s">
        <v>293</v>
      </c>
      <c r="L119" s="132" t="s">
        <v>183</v>
      </c>
    </row>
    <row r="120" spans="1:12">
      <c r="A120" s="22"/>
      <c r="B120" s="22" t="s">
        <v>245</v>
      </c>
      <c r="C120" s="116" t="s">
        <v>293</v>
      </c>
      <c r="D120" s="117" t="s">
        <v>149</v>
      </c>
      <c r="E120" s="116" t="s">
        <v>293</v>
      </c>
      <c r="F120" s="117" t="s">
        <v>149</v>
      </c>
      <c r="G120" s="116" t="s">
        <v>293</v>
      </c>
      <c r="H120" s="117" t="s">
        <v>149</v>
      </c>
      <c r="I120" s="131" t="s">
        <v>293</v>
      </c>
      <c r="J120" s="132" t="s">
        <v>149</v>
      </c>
      <c r="K120" s="131" t="s">
        <v>293</v>
      </c>
      <c r="L120" s="132" t="s">
        <v>149</v>
      </c>
    </row>
    <row r="121" spans="1:12">
      <c r="A121" s="22"/>
      <c r="B121" s="22"/>
      <c r="C121" s="116" t="s">
        <v>292</v>
      </c>
      <c r="D121" s="117" t="s">
        <v>184</v>
      </c>
      <c r="E121" s="116" t="s">
        <v>292</v>
      </c>
      <c r="F121" s="117" t="s">
        <v>184</v>
      </c>
      <c r="G121" s="116" t="s">
        <v>292</v>
      </c>
      <c r="H121" s="117" t="s">
        <v>184</v>
      </c>
      <c r="I121" s="131" t="s">
        <v>292</v>
      </c>
      <c r="J121" s="132" t="s">
        <v>184</v>
      </c>
      <c r="K121" s="131" t="s">
        <v>292</v>
      </c>
      <c r="L121" s="132" t="s">
        <v>184</v>
      </c>
    </row>
    <row r="122" spans="1:12">
      <c r="A122" s="22"/>
      <c r="B122" s="22" t="s">
        <v>246</v>
      </c>
      <c r="C122" s="116" t="s">
        <v>293</v>
      </c>
      <c r="D122" s="117" t="s">
        <v>150</v>
      </c>
      <c r="E122" s="116" t="s">
        <v>293</v>
      </c>
      <c r="F122" s="117" t="s">
        <v>150</v>
      </c>
      <c r="G122" s="116" t="s">
        <v>293</v>
      </c>
      <c r="H122" s="117" t="s">
        <v>150</v>
      </c>
      <c r="I122" s="131" t="s">
        <v>293</v>
      </c>
      <c r="J122" s="132" t="s">
        <v>150</v>
      </c>
      <c r="K122" s="131" t="s">
        <v>293</v>
      </c>
      <c r="L122" s="132" t="s">
        <v>150</v>
      </c>
    </row>
    <row r="123" spans="1:12">
      <c r="A123" s="22"/>
      <c r="B123" s="22"/>
      <c r="C123" s="116" t="s">
        <v>292</v>
      </c>
      <c r="D123" s="117" t="s">
        <v>187</v>
      </c>
      <c r="E123" s="116" t="s">
        <v>292</v>
      </c>
      <c r="F123" s="117" t="s">
        <v>187</v>
      </c>
      <c r="G123" s="116" t="s">
        <v>292</v>
      </c>
      <c r="H123" s="117" t="s">
        <v>187</v>
      </c>
      <c r="I123" s="131" t="s">
        <v>292</v>
      </c>
      <c r="J123" s="132" t="s">
        <v>187</v>
      </c>
      <c r="K123" s="131" t="s">
        <v>292</v>
      </c>
      <c r="L123" s="132" t="s">
        <v>187</v>
      </c>
    </row>
    <row r="124" spans="1:12">
      <c r="A124" s="22"/>
      <c r="B124" s="22" t="s">
        <v>249</v>
      </c>
      <c r="C124" s="116" t="s">
        <v>293</v>
      </c>
      <c r="D124" s="117" t="s">
        <v>80</v>
      </c>
      <c r="E124" s="116" t="s">
        <v>293</v>
      </c>
      <c r="F124" s="117" t="s">
        <v>80</v>
      </c>
      <c r="G124" s="116" t="s">
        <v>293</v>
      </c>
      <c r="H124" s="117" t="s">
        <v>80</v>
      </c>
      <c r="I124" s="131" t="s">
        <v>293</v>
      </c>
      <c r="J124" s="132" t="s">
        <v>80</v>
      </c>
      <c r="K124" s="131" t="s">
        <v>293</v>
      </c>
      <c r="L124" s="132" t="s">
        <v>80</v>
      </c>
    </row>
    <row r="125" spans="1:12">
      <c r="A125" s="22"/>
      <c r="B125" s="22"/>
      <c r="C125" s="116" t="s">
        <v>292</v>
      </c>
      <c r="D125" s="117" t="s">
        <v>188</v>
      </c>
      <c r="E125" s="116" t="s">
        <v>292</v>
      </c>
      <c r="F125" s="117" t="s">
        <v>188</v>
      </c>
      <c r="G125" s="116" t="s">
        <v>292</v>
      </c>
      <c r="H125" s="117" t="s">
        <v>188</v>
      </c>
      <c r="I125" s="131" t="s">
        <v>292</v>
      </c>
      <c r="J125" s="132" t="s">
        <v>188</v>
      </c>
      <c r="K125" s="131" t="s">
        <v>292</v>
      </c>
      <c r="L125" s="132" t="s">
        <v>188</v>
      </c>
    </row>
    <row r="126" spans="1:12">
      <c r="A126" s="22"/>
      <c r="B126" s="22" t="s">
        <v>250</v>
      </c>
      <c r="C126" s="116" t="s">
        <v>293</v>
      </c>
      <c r="D126" s="117" t="s">
        <v>146</v>
      </c>
      <c r="E126" s="116" t="s">
        <v>293</v>
      </c>
      <c r="F126" s="117" t="s">
        <v>146</v>
      </c>
      <c r="G126" s="116" t="s">
        <v>293</v>
      </c>
      <c r="H126" s="117" t="s">
        <v>146</v>
      </c>
      <c r="I126" s="131" t="s">
        <v>293</v>
      </c>
      <c r="J126" s="132" t="s">
        <v>146</v>
      </c>
      <c r="K126" s="131" t="s">
        <v>293</v>
      </c>
      <c r="L126" s="132" t="s">
        <v>146</v>
      </c>
    </row>
    <row r="127" spans="1:12">
      <c r="A127" s="22"/>
      <c r="B127" s="22"/>
      <c r="C127" s="116" t="s">
        <v>292</v>
      </c>
      <c r="D127" s="117" t="s">
        <v>189</v>
      </c>
      <c r="E127" s="116" t="s">
        <v>292</v>
      </c>
      <c r="F127" s="117" t="s">
        <v>189</v>
      </c>
      <c r="G127" s="116" t="s">
        <v>292</v>
      </c>
      <c r="H127" s="117" t="s">
        <v>189</v>
      </c>
      <c r="I127" s="131" t="s">
        <v>292</v>
      </c>
      <c r="J127" s="132" t="s">
        <v>189</v>
      </c>
      <c r="K127" s="131" t="s">
        <v>292</v>
      </c>
      <c r="L127" s="132" t="s">
        <v>189</v>
      </c>
    </row>
    <row r="128" spans="1:12">
      <c r="A128" s="22"/>
      <c r="B128" s="22" t="s">
        <v>251</v>
      </c>
      <c r="C128" s="116" t="s">
        <v>293</v>
      </c>
      <c r="D128" s="117" t="s">
        <v>80</v>
      </c>
      <c r="E128" s="116" t="s">
        <v>293</v>
      </c>
      <c r="F128" s="117" t="s">
        <v>80</v>
      </c>
      <c r="G128" s="116" t="s">
        <v>293</v>
      </c>
      <c r="H128" s="117" t="s">
        <v>80</v>
      </c>
      <c r="I128" s="131" t="s">
        <v>293</v>
      </c>
      <c r="J128" s="132" t="s">
        <v>80</v>
      </c>
      <c r="K128" s="131" t="s">
        <v>293</v>
      </c>
      <c r="L128" s="132" t="s">
        <v>80</v>
      </c>
    </row>
    <row r="129" spans="1:12">
      <c r="A129" s="22"/>
      <c r="B129" s="22"/>
      <c r="C129" s="116" t="s">
        <v>292</v>
      </c>
      <c r="D129" s="117" t="s">
        <v>190</v>
      </c>
      <c r="E129" s="116" t="s">
        <v>292</v>
      </c>
      <c r="F129" s="117" t="s">
        <v>190</v>
      </c>
      <c r="G129" s="116" t="s">
        <v>292</v>
      </c>
      <c r="H129" s="117" t="s">
        <v>190</v>
      </c>
      <c r="I129" s="131" t="s">
        <v>292</v>
      </c>
      <c r="J129" s="132" t="s">
        <v>190</v>
      </c>
      <c r="K129" s="131" t="s">
        <v>292</v>
      </c>
      <c r="L129" s="132" t="s">
        <v>190</v>
      </c>
    </row>
    <row r="130" spans="1:12">
      <c r="A130" s="22"/>
      <c r="B130" s="22" t="s">
        <v>252</v>
      </c>
      <c r="C130" s="116" t="s">
        <v>293</v>
      </c>
      <c r="D130" s="117" t="s">
        <v>146</v>
      </c>
      <c r="E130" s="116" t="s">
        <v>293</v>
      </c>
      <c r="F130" s="117" t="s">
        <v>146</v>
      </c>
      <c r="G130" s="116" t="s">
        <v>293</v>
      </c>
      <c r="H130" s="117" t="s">
        <v>146</v>
      </c>
      <c r="I130" s="131" t="s">
        <v>293</v>
      </c>
      <c r="J130" s="132" t="s">
        <v>146</v>
      </c>
      <c r="K130" s="131" t="s">
        <v>293</v>
      </c>
      <c r="L130" s="132" t="s">
        <v>146</v>
      </c>
    </row>
    <row r="131" spans="1:12">
      <c r="A131" s="22"/>
      <c r="B131" s="22"/>
      <c r="C131" s="116" t="s">
        <v>292</v>
      </c>
      <c r="D131" s="117" t="s">
        <v>191</v>
      </c>
      <c r="E131" s="116" t="s">
        <v>292</v>
      </c>
      <c r="F131" s="117" t="s">
        <v>191</v>
      </c>
      <c r="G131" s="116" t="s">
        <v>292</v>
      </c>
      <c r="H131" s="117" t="s">
        <v>191</v>
      </c>
      <c r="I131" s="131" t="s">
        <v>292</v>
      </c>
      <c r="J131" s="132" t="s">
        <v>191</v>
      </c>
      <c r="K131" s="131" t="s">
        <v>292</v>
      </c>
      <c r="L131" s="132" t="s">
        <v>191</v>
      </c>
    </row>
    <row r="132" spans="1:12">
      <c r="A132" s="22"/>
      <c r="B132" s="22" t="s">
        <v>253</v>
      </c>
      <c r="C132" s="116" t="s">
        <v>293</v>
      </c>
      <c r="D132" s="117" t="s">
        <v>80</v>
      </c>
      <c r="E132" s="116" t="s">
        <v>293</v>
      </c>
      <c r="F132" s="117" t="s">
        <v>80</v>
      </c>
      <c r="G132" s="116" t="s">
        <v>293</v>
      </c>
      <c r="H132" s="117" t="s">
        <v>80</v>
      </c>
      <c r="I132" s="131" t="s">
        <v>293</v>
      </c>
      <c r="J132" s="132" t="s">
        <v>80</v>
      </c>
      <c r="K132" s="131" t="s">
        <v>293</v>
      </c>
      <c r="L132" s="132" t="s">
        <v>80</v>
      </c>
    </row>
    <row r="133" spans="1:12">
      <c r="A133" s="22"/>
      <c r="B133" s="22"/>
      <c r="C133" s="116" t="s">
        <v>292</v>
      </c>
      <c r="D133" s="117" t="s">
        <v>192</v>
      </c>
      <c r="E133" s="116" t="s">
        <v>292</v>
      </c>
      <c r="F133" s="117" t="s">
        <v>192</v>
      </c>
      <c r="G133" s="116" t="s">
        <v>292</v>
      </c>
      <c r="H133" s="117" t="s">
        <v>192</v>
      </c>
      <c r="I133" s="131" t="s">
        <v>292</v>
      </c>
      <c r="J133" s="132" t="s">
        <v>192</v>
      </c>
      <c r="K133" s="131" t="s">
        <v>292</v>
      </c>
      <c r="L133" s="132" t="s">
        <v>192</v>
      </c>
    </row>
    <row r="134" spans="1:12">
      <c r="A134" s="22"/>
      <c r="B134" s="22" t="s">
        <v>254</v>
      </c>
      <c r="C134" s="116" t="s">
        <v>293</v>
      </c>
      <c r="D134" s="117" t="s">
        <v>146</v>
      </c>
      <c r="E134" s="116" t="s">
        <v>293</v>
      </c>
      <c r="F134" s="117" t="s">
        <v>146</v>
      </c>
      <c r="G134" s="116" t="s">
        <v>293</v>
      </c>
      <c r="H134" s="117" t="s">
        <v>146</v>
      </c>
      <c r="I134" s="131" t="s">
        <v>293</v>
      </c>
      <c r="J134" s="132" t="s">
        <v>146</v>
      </c>
      <c r="K134" s="131" t="s">
        <v>293</v>
      </c>
      <c r="L134" s="132" t="s">
        <v>146</v>
      </c>
    </row>
    <row r="135" spans="1:12">
      <c r="A135" s="22"/>
      <c r="B135" s="22"/>
      <c r="C135" s="116" t="s">
        <v>292</v>
      </c>
      <c r="D135" s="117" t="s">
        <v>193</v>
      </c>
      <c r="E135" s="116" t="s">
        <v>292</v>
      </c>
      <c r="F135" s="117" t="s">
        <v>193</v>
      </c>
      <c r="G135" s="116" t="s">
        <v>292</v>
      </c>
      <c r="H135" s="117" t="s">
        <v>193</v>
      </c>
      <c r="I135" s="131" t="s">
        <v>292</v>
      </c>
      <c r="J135" s="132" t="s">
        <v>193</v>
      </c>
      <c r="K135" s="131" t="s">
        <v>292</v>
      </c>
      <c r="L135" s="132" t="s">
        <v>193</v>
      </c>
    </row>
    <row r="136" spans="1:12">
      <c r="A136" s="22"/>
      <c r="B136" s="22" t="s">
        <v>255</v>
      </c>
      <c r="C136" s="116" t="s">
        <v>293</v>
      </c>
      <c r="D136" s="117" t="s">
        <v>80</v>
      </c>
      <c r="E136" s="116" t="s">
        <v>293</v>
      </c>
      <c r="F136" s="117" t="s">
        <v>80</v>
      </c>
      <c r="G136" s="116" t="s">
        <v>293</v>
      </c>
      <c r="H136" s="117" t="s">
        <v>80</v>
      </c>
      <c r="I136" s="131" t="s">
        <v>293</v>
      </c>
      <c r="J136" s="132" t="s">
        <v>80</v>
      </c>
      <c r="K136" s="131" t="s">
        <v>293</v>
      </c>
      <c r="L136" s="132" t="s">
        <v>80</v>
      </c>
    </row>
    <row r="137" spans="1:12">
      <c r="A137" s="22"/>
      <c r="B137" s="22"/>
      <c r="C137" s="116" t="s">
        <v>292</v>
      </c>
      <c r="D137" s="117" t="s">
        <v>194</v>
      </c>
      <c r="E137" s="116" t="s">
        <v>292</v>
      </c>
      <c r="F137" s="117" t="s">
        <v>194</v>
      </c>
      <c r="G137" s="116" t="s">
        <v>292</v>
      </c>
      <c r="H137" s="117" t="s">
        <v>194</v>
      </c>
      <c r="I137" s="131" t="s">
        <v>292</v>
      </c>
      <c r="J137" s="132" t="s">
        <v>194</v>
      </c>
      <c r="K137" s="131" t="s">
        <v>292</v>
      </c>
      <c r="L137" s="132" t="s">
        <v>194</v>
      </c>
    </row>
    <row r="138" spans="1:12">
      <c r="A138" s="22"/>
      <c r="B138" s="22" t="s">
        <v>256</v>
      </c>
      <c r="C138" s="116" t="s">
        <v>293</v>
      </c>
      <c r="D138" s="117" t="s">
        <v>146</v>
      </c>
      <c r="E138" s="116" t="s">
        <v>293</v>
      </c>
      <c r="F138" s="117" t="s">
        <v>146</v>
      </c>
      <c r="G138" s="116" t="s">
        <v>293</v>
      </c>
      <c r="H138" s="117" t="s">
        <v>146</v>
      </c>
      <c r="I138" s="131" t="s">
        <v>293</v>
      </c>
      <c r="J138" s="132" t="s">
        <v>146</v>
      </c>
      <c r="K138" s="131" t="s">
        <v>293</v>
      </c>
      <c r="L138" s="132" t="s">
        <v>146</v>
      </c>
    </row>
    <row r="139" spans="1:12">
      <c r="A139" s="22"/>
      <c r="B139" s="22"/>
      <c r="C139" s="116" t="s">
        <v>292</v>
      </c>
      <c r="D139" s="117" t="s">
        <v>195</v>
      </c>
      <c r="E139" s="116" t="s">
        <v>292</v>
      </c>
      <c r="F139" s="117" t="s">
        <v>195</v>
      </c>
      <c r="G139" s="116" t="s">
        <v>292</v>
      </c>
      <c r="H139" s="117" t="s">
        <v>195</v>
      </c>
      <c r="I139" s="131" t="s">
        <v>292</v>
      </c>
      <c r="J139" s="132" t="s">
        <v>195</v>
      </c>
      <c r="K139" s="131" t="s">
        <v>292</v>
      </c>
      <c r="L139" s="132" t="s">
        <v>195</v>
      </c>
    </row>
    <row r="140" spans="1:12">
      <c r="A140" s="22"/>
      <c r="B140" s="22" t="s">
        <v>257</v>
      </c>
      <c r="C140" s="116" t="s">
        <v>293</v>
      </c>
      <c r="D140" s="117" t="s">
        <v>80</v>
      </c>
      <c r="E140" s="116" t="s">
        <v>293</v>
      </c>
      <c r="F140" s="117" t="s">
        <v>80</v>
      </c>
      <c r="G140" s="116" t="s">
        <v>293</v>
      </c>
      <c r="H140" s="117" t="s">
        <v>80</v>
      </c>
      <c r="I140" s="131" t="s">
        <v>293</v>
      </c>
      <c r="J140" s="132" t="s">
        <v>80</v>
      </c>
      <c r="K140" s="131" t="s">
        <v>293</v>
      </c>
      <c r="L140" s="132" t="s">
        <v>80</v>
      </c>
    </row>
    <row r="141" spans="1:12">
      <c r="A141" s="22"/>
      <c r="B141" s="22"/>
      <c r="C141" s="116" t="s">
        <v>292</v>
      </c>
      <c r="D141" s="117" t="s">
        <v>196</v>
      </c>
      <c r="E141" s="116" t="s">
        <v>292</v>
      </c>
      <c r="F141" s="117" t="s">
        <v>196</v>
      </c>
      <c r="G141" s="116" t="s">
        <v>292</v>
      </c>
      <c r="H141" s="117" t="s">
        <v>196</v>
      </c>
      <c r="I141" s="131" t="s">
        <v>292</v>
      </c>
      <c r="J141" s="132" t="s">
        <v>196</v>
      </c>
      <c r="K141" s="131" t="s">
        <v>292</v>
      </c>
      <c r="L141" s="132" t="s">
        <v>196</v>
      </c>
    </row>
    <row r="142" spans="1:12">
      <c r="A142" s="22"/>
      <c r="B142" s="22" t="s">
        <v>258</v>
      </c>
      <c r="C142" s="116" t="s">
        <v>293</v>
      </c>
      <c r="D142" s="117" t="s">
        <v>146</v>
      </c>
      <c r="E142" s="116" t="s">
        <v>293</v>
      </c>
      <c r="F142" s="117" t="s">
        <v>146</v>
      </c>
      <c r="G142" s="116" t="s">
        <v>293</v>
      </c>
      <c r="H142" s="117" t="s">
        <v>146</v>
      </c>
      <c r="I142" s="131" t="s">
        <v>293</v>
      </c>
      <c r="J142" s="132" t="s">
        <v>146</v>
      </c>
      <c r="K142" s="131" t="s">
        <v>293</v>
      </c>
      <c r="L142" s="132" t="s">
        <v>146</v>
      </c>
    </row>
    <row r="143" spans="1:12">
      <c r="A143" s="22"/>
      <c r="B143" s="22"/>
      <c r="C143" s="116" t="s">
        <v>292</v>
      </c>
      <c r="D143" s="117" t="s">
        <v>198</v>
      </c>
      <c r="E143" s="116" t="s">
        <v>292</v>
      </c>
      <c r="F143" s="117" t="s">
        <v>198</v>
      </c>
      <c r="G143" s="116" t="s">
        <v>292</v>
      </c>
      <c r="H143" s="117" t="s">
        <v>198</v>
      </c>
      <c r="I143" s="131" t="s">
        <v>292</v>
      </c>
      <c r="J143" s="132" t="s">
        <v>198</v>
      </c>
      <c r="K143" s="131" t="s">
        <v>292</v>
      </c>
      <c r="L143" s="132" t="s">
        <v>198</v>
      </c>
    </row>
    <row r="144" spans="1:12">
      <c r="A144" s="22"/>
      <c r="B144" s="22" t="s">
        <v>259</v>
      </c>
      <c r="C144" s="116" t="s">
        <v>293</v>
      </c>
      <c r="D144" s="117" t="s">
        <v>83</v>
      </c>
      <c r="E144" s="116" t="s">
        <v>293</v>
      </c>
      <c r="F144" s="117" t="s">
        <v>83</v>
      </c>
      <c r="G144" s="116" t="s">
        <v>293</v>
      </c>
      <c r="H144" s="117" t="s">
        <v>83</v>
      </c>
      <c r="I144" s="131" t="s">
        <v>293</v>
      </c>
      <c r="J144" s="132" t="s">
        <v>83</v>
      </c>
      <c r="K144" s="131" t="s">
        <v>293</v>
      </c>
      <c r="L144" s="132" t="s">
        <v>83</v>
      </c>
    </row>
    <row r="145" spans="1:12">
      <c r="A145" s="22"/>
      <c r="B145" s="22" t="s">
        <v>260</v>
      </c>
      <c r="C145" s="116" t="s">
        <v>293</v>
      </c>
      <c r="D145" s="117" t="s">
        <v>83</v>
      </c>
      <c r="E145" s="116" t="s">
        <v>293</v>
      </c>
      <c r="F145" s="117" t="s">
        <v>83</v>
      </c>
      <c r="G145" s="116" t="s">
        <v>293</v>
      </c>
      <c r="H145" s="117" t="s">
        <v>83</v>
      </c>
      <c r="I145" s="131" t="s">
        <v>293</v>
      </c>
      <c r="J145" s="132" t="s">
        <v>83</v>
      </c>
      <c r="K145" s="131" t="s">
        <v>293</v>
      </c>
      <c r="L145" s="132" t="s">
        <v>83</v>
      </c>
    </row>
    <row r="146" spans="1:12">
      <c r="A146" s="22"/>
      <c r="B146" s="22" t="s">
        <v>261</v>
      </c>
      <c r="C146" s="116" t="s">
        <v>293</v>
      </c>
      <c r="D146" s="117" t="s">
        <v>83</v>
      </c>
      <c r="E146" s="116" t="s">
        <v>293</v>
      </c>
      <c r="F146" s="117" t="s">
        <v>83</v>
      </c>
      <c r="G146" s="116" t="s">
        <v>293</v>
      </c>
      <c r="H146" s="117" t="s">
        <v>83</v>
      </c>
      <c r="I146" s="131" t="s">
        <v>293</v>
      </c>
      <c r="J146" s="132" t="s">
        <v>83</v>
      </c>
      <c r="K146" s="131" t="s">
        <v>293</v>
      </c>
      <c r="L146" s="132" t="s">
        <v>83</v>
      </c>
    </row>
    <row r="147" spans="1:12">
      <c r="A147" s="22"/>
      <c r="B147" s="22" t="s">
        <v>262</v>
      </c>
      <c r="C147" s="116" t="s">
        <v>293</v>
      </c>
      <c r="D147" s="117" t="s">
        <v>83</v>
      </c>
      <c r="E147" s="116" t="s">
        <v>293</v>
      </c>
      <c r="F147" s="117" t="s">
        <v>83</v>
      </c>
      <c r="G147" s="116" t="s">
        <v>293</v>
      </c>
      <c r="H147" s="117" t="s">
        <v>83</v>
      </c>
      <c r="I147" s="131" t="s">
        <v>293</v>
      </c>
      <c r="J147" s="132" t="s">
        <v>83</v>
      </c>
      <c r="K147" s="131" t="s">
        <v>293</v>
      </c>
      <c r="L147" s="132" t="s">
        <v>83</v>
      </c>
    </row>
    <row r="148" spans="1:12">
      <c r="A148" s="22"/>
      <c r="B148" s="22" t="s">
        <v>263</v>
      </c>
      <c r="C148" s="116" t="s">
        <v>293</v>
      </c>
      <c r="D148" s="117" t="s">
        <v>83</v>
      </c>
      <c r="E148" s="116" t="s">
        <v>293</v>
      </c>
      <c r="F148" s="117" t="s">
        <v>83</v>
      </c>
      <c r="G148" s="116" t="s">
        <v>293</v>
      </c>
      <c r="H148" s="117" t="s">
        <v>83</v>
      </c>
      <c r="I148" s="131" t="s">
        <v>293</v>
      </c>
      <c r="J148" s="132" t="s">
        <v>83</v>
      </c>
      <c r="K148" s="131" t="s">
        <v>293</v>
      </c>
      <c r="L148" s="132" t="s">
        <v>83</v>
      </c>
    </row>
    <row r="149" spans="1:12">
      <c r="A149" s="22"/>
      <c r="B149" s="22" t="s">
        <v>264</v>
      </c>
      <c r="C149" s="116" t="s">
        <v>293</v>
      </c>
      <c r="D149" s="117" t="s">
        <v>83</v>
      </c>
      <c r="E149" s="116" t="s">
        <v>293</v>
      </c>
      <c r="F149" s="117" t="s">
        <v>83</v>
      </c>
      <c r="G149" s="116" t="s">
        <v>293</v>
      </c>
      <c r="H149" s="117" t="s">
        <v>83</v>
      </c>
      <c r="I149" s="131" t="s">
        <v>293</v>
      </c>
      <c r="J149" s="132" t="s">
        <v>83</v>
      </c>
      <c r="K149" s="131" t="s">
        <v>293</v>
      </c>
      <c r="L149" s="132" t="s">
        <v>83</v>
      </c>
    </row>
    <row r="150" spans="1:12">
      <c r="A150" s="22"/>
      <c r="B150" s="22" t="s">
        <v>265</v>
      </c>
      <c r="C150" s="116" t="s">
        <v>293</v>
      </c>
      <c r="D150" s="117" t="s">
        <v>83</v>
      </c>
      <c r="E150" s="116" t="s">
        <v>293</v>
      </c>
      <c r="F150" s="117" t="s">
        <v>83</v>
      </c>
      <c r="G150" s="116" t="s">
        <v>293</v>
      </c>
      <c r="H150" s="117" t="s">
        <v>83</v>
      </c>
      <c r="I150" s="131" t="s">
        <v>293</v>
      </c>
      <c r="J150" s="132" t="s">
        <v>83</v>
      </c>
      <c r="K150" s="131" t="s">
        <v>293</v>
      </c>
      <c r="L150" s="132" t="s">
        <v>83</v>
      </c>
    </row>
    <row r="151" spans="1:12">
      <c r="A151" s="22"/>
      <c r="B151" s="22" t="s">
        <v>266</v>
      </c>
      <c r="C151" s="116" t="s">
        <v>293</v>
      </c>
      <c r="D151" s="117" t="s">
        <v>83</v>
      </c>
      <c r="E151" s="116" t="s">
        <v>293</v>
      </c>
      <c r="F151" s="117" t="s">
        <v>83</v>
      </c>
      <c r="G151" s="116" t="s">
        <v>293</v>
      </c>
      <c r="H151" s="117" t="s">
        <v>83</v>
      </c>
      <c r="I151" s="131" t="s">
        <v>293</v>
      </c>
      <c r="J151" s="132" t="s">
        <v>83</v>
      </c>
      <c r="K151" s="131" t="s">
        <v>293</v>
      </c>
      <c r="L151" s="132" t="s">
        <v>83</v>
      </c>
    </row>
    <row r="152" spans="1:12">
      <c r="A152" s="22"/>
      <c r="B152" s="22" t="s">
        <v>267</v>
      </c>
      <c r="C152" s="116" t="s">
        <v>293</v>
      </c>
      <c r="D152" s="117" t="s">
        <v>83</v>
      </c>
      <c r="E152" s="116" t="s">
        <v>293</v>
      </c>
      <c r="F152" s="117" t="s">
        <v>83</v>
      </c>
      <c r="G152" s="116" t="s">
        <v>293</v>
      </c>
      <c r="H152" s="117" t="s">
        <v>83</v>
      </c>
      <c r="I152" s="131" t="s">
        <v>293</v>
      </c>
      <c r="J152" s="132" t="s">
        <v>83</v>
      </c>
      <c r="K152" s="131" t="s">
        <v>293</v>
      </c>
      <c r="L152" s="132" t="s">
        <v>83</v>
      </c>
    </row>
    <row r="153" spans="1:12">
      <c r="A153" s="22"/>
      <c r="B153" s="22" t="s">
        <v>268</v>
      </c>
      <c r="C153" s="116" t="s">
        <v>293</v>
      </c>
      <c r="D153" s="117" t="s">
        <v>83</v>
      </c>
      <c r="E153" s="116" t="s">
        <v>293</v>
      </c>
      <c r="F153" s="117" t="s">
        <v>83</v>
      </c>
      <c r="G153" s="116" t="s">
        <v>293</v>
      </c>
      <c r="H153" s="117" t="s">
        <v>83</v>
      </c>
      <c r="I153" s="131" t="s">
        <v>293</v>
      </c>
      <c r="J153" s="132" t="s">
        <v>83</v>
      </c>
      <c r="K153" s="131" t="s">
        <v>293</v>
      </c>
      <c r="L153" s="132" t="s">
        <v>83</v>
      </c>
    </row>
    <row r="154" spans="1:12">
      <c r="A154" s="22"/>
      <c r="B154" s="22" t="s">
        <v>269</v>
      </c>
      <c r="C154" s="116" t="s">
        <v>293</v>
      </c>
      <c r="D154" s="117" t="s">
        <v>83</v>
      </c>
      <c r="E154" s="116" t="s">
        <v>293</v>
      </c>
      <c r="F154" s="117" t="s">
        <v>83</v>
      </c>
      <c r="G154" s="116" t="s">
        <v>293</v>
      </c>
      <c r="H154" s="117" t="s">
        <v>83</v>
      </c>
      <c r="I154" s="131" t="s">
        <v>293</v>
      </c>
      <c r="J154" s="132" t="s">
        <v>83</v>
      </c>
      <c r="K154" s="131" t="s">
        <v>293</v>
      </c>
      <c r="L154" s="132" t="s">
        <v>83</v>
      </c>
    </row>
    <row r="155" spans="1:12">
      <c r="A155" s="22"/>
      <c r="B155" s="22" t="s">
        <v>270</v>
      </c>
      <c r="C155" s="116" t="s">
        <v>293</v>
      </c>
      <c r="D155" s="117" t="s">
        <v>83</v>
      </c>
      <c r="E155" s="116" t="s">
        <v>293</v>
      </c>
      <c r="F155" s="117" t="s">
        <v>83</v>
      </c>
      <c r="G155" s="116" t="s">
        <v>293</v>
      </c>
      <c r="H155" s="117" t="s">
        <v>83</v>
      </c>
      <c r="I155" s="131" t="s">
        <v>293</v>
      </c>
      <c r="J155" s="132" t="s">
        <v>83</v>
      </c>
      <c r="K155" s="131" t="s">
        <v>293</v>
      </c>
      <c r="L155" s="132" t="s">
        <v>83</v>
      </c>
    </row>
    <row r="156" spans="1:12">
      <c r="A156" s="22"/>
      <c r="B156" s="22" t="s">
        <v>271</v>
      </c>
      <c r="C156" s="116" t="s">
        <v>293</v>
      </c>
      <c r="D156" s="117" t="s">
        <v>83</v>
      </c>
      <c r="E156" s="116" t="s">
        <v>293</v>
      </c>
      <c r="F156" s="117" t="s">
        <v>83</v>
      </c>
      <c r="G156" s="116" t="s">
        <v>293</v>
      </c>
      <c r="H156" s="117" t="s">
        <v>83</v>
      </c>
      <c r="I156" s="131" t="s">
        <v>293</v>
      </c>
      <c r="J156" s="132" t="s">
        <v>83</v>
      </c>
      <c r="K156" s="131" t="s">
        <v>293</v>
      </c>
      <c r="L156" s="132" t="s">
        <v>83</v>
      </c>
    </row>
    <row r="157" spans="1:12">
      <c r="A157" s="22"/>
      <c r="B157" s="22" t="s">
        <v>272</v>
      </c>
      <c r="C157" s="116" t="s">
        <v>293</v>
      </c>
      <c r="D157" s="117" t="s">
        <v>83</v>
      </c>
      <c r="E157" s="116" t="s">
        <v>293</v>
      </c>
      <c r="F157" s="117" t="s">
        <v>83</v>
      </c>
      <c r="G157" s="116" t="s">
        <v>293</v>
      </c>
      <c r="H157" s="117" t="s">
        <v>83</v>
      </c>
      <c r="I157" s="131" t="s">
        <v>293</v>
      </c>
      <c r="J157" s="132" t="s">
        <v>83</v>
      </c>
      <c r="K157" s="131" t="s">
        <v>293</v>
      </c>
      <c r="L157" s="132" t="s">
        <v>83</v>
      </c>
    </row>
    <row r="158" spans="1:12">
      <c r="A158" s="22"/>
      <c r="B158" s="22" t="s">
        <v>273</v>
      </c>
      <c r="C158" s="116" t="s">
        <v>293</v>
      </c>
      <c r="D158" s="117" t="s">
        <v>83</v>
      </c>
      <c r="E158" s="116" t="s">
        <v>293</v>
      </c>
      <c r="F158" s="117" t="s">
        <v>83</v>
      </c>
      <c r="G158" s="116" t="s">
        <v>293</v>
      </c>
      <c r="H158" s="117" t="s">
        <v>83</v>
      </c>
      <c r="I158" s="131" t="s">
        <v>293</v>
      </c>
      <c r="J158" s="132" t="s">
        <v>83</v>
      </c>
      <c r="K158" s="131" t="s">
        <v>293</v>
      </c>
      <c r="L158" s="132" t="s">
        <v>83</v>
      </c>
    </row>
    <row r="159" spans="1:12">
      <c r="A159" s="22"/>
      <c r="B159" s="22" t="s">
        <v>274</v>
      </c>
      <c r="C159" s="116" t="s">
        <v>293</v>
      </c>
      <c r="D159" s="117" t="s">
        <v>83</v>
      </c>
      <c r="E159" s="116" t="s">
        <v>293</v>
      </c>
      <c r="F159" s="117" t="s">
        <v>83</v>
      </c>
      <c r="G159" s="116" t="s">
        <v>293</v>
      </c>
      <c r="H159" s="117" t="s">
        <v>83</v>
      </c>
      <c r="I159" s="131" t="s">
        <v>293</v>
      </c>
      <c r="J159" s="132" t="s">
        <v>83</v>
      </c>
      <c r="K159" s="131" t="s">
        <v>293</v>
      </c>
      <c r="L159" s="132" t="s">
        <v>83</v>
      </c>
    </row>
    <row r="160" spans="1:12">
      <c r="A160" s="22"/>
      <c r="B160" s="22"/>
      <c r="C160" s="116" t="s">
        <v>292</v>
      </c>
      <c r="D160" s="117" t="s">
        <v>201</v>
      </c>
      <c r="E160" s="116" t="s">
        <v>292</v>
      </c>
      <c r="F160" s="117" t="s">
        <v>201</v>
      </c>
      <c r="G160" s="116" t="s">
        <v>292</v>
      </c>
      <c r="H160" s="117" t="s">
        <v>201</v>
      </c>
      <c r="I160" s="131" t="s">
        <v>292</v>
      </c>
      <c r="J160" s="132" t="s">
        <v>201</v>
      </c>
      <c r="K160" s="131" t="s">
        <v>292</v>
      </c>
      <c r="L160" s="132" t="s">
        <v>201</v>
      </c>
    </row>
    <row r="161" spans="1:12">
      <c r="A161" s="22"/>
      <c r="B161" s="22" t="s">
        <v>275</v>
      </c>
      <c r="C161" s="116" t="s">
        <v>293</v>
      </c>
      <c r="D161" s="117" t="s">
        <v>152</v>
      </c>
      <c r="E161" s="116" t="s">
        <v>293</v>
      </c>
      <c r="F161" s="117" t="s">
        <v>152</v>
      </c>
      <c r="G161" s="116" t="s">
        <v>293</v>
      </c>
      <c r="H161" s="117" t="s">
        <v>152</v>
      </c>
      <c r="I161" s="131" t="s">
        <v>293</v>
      </c>
      <c r="J161" s="132" t="s">
        <v>152</v>
      </c>
      <c r="K161" s="131" t="s">
        <v>293</v>
      </c>
      <c r="L161" s="132" t="s">
        <v>152</v>
      </c>
    </row>
    <row r="162" spans="1:12">
      <c r="A162" s="22"/>
      <c r="B162" s="22"/>
      <c r="C162" s="116" t="s">
        <v>292</v>
      </c>
      <c r="D162" s="117" t="s">
        <v>202</v>
      </c>
      <c r="E162" s="116" t="s">
        <v>292</v>
      </c>
      <c r="F162" s="117" t="s">
        <v>202</v>
      </c>
      <c r="G162" s="116" t="s">
        <v>292</v>
      </c>
      <c r="H162" s="117" t="s">
        <v>202</v>
      </c>
      <c r="I162" s="131" t="s">
        <v>292</v>
      </c>
      <c r="J162" s="132" t="s">
        <v>202</v>
      </c>
      <c r="K162" s="131" t="s">
        <v>292</v>
      </c>
      <c r="L162" s="132" t="s">
        <v>202</v>
      </c>
    </row>
    <row r="163" spans="1:12">
      <c r="A163" s="22"/>
      <c r="B163" s="22" t="s">
        <v>276</v>
      </c>
      <c r="C163" s="116" t="s">
        <v>293</v>
      </c>
      <c r="D163" s="117" t="s">
        <v>92</v>
      </c>
      <c r="E163" s="116" t="s">
        <v>293</v>
      </c>
      <c r="F163" s="117" t="s">
        <v>92</v>
      </c>
      <c r="G163" s="116" t="s">
        <v>293</v>
      </c>
      <c r="H163" s="117" t="s">
        <v>92</v>
      </c>
      <c r="I163" s="131" t="s">
        <v>293</v>
      </c>
      <c r="J163" s="132" t="s">
        <v>92</v>
      </c>
      <c r="K163" s="131" t="s">
        <v>293</v>
      </c>
      <c r="L163" s="132" t="s">
        <v>92</v>
      </c>
    </row>
    <row r="164" spans="1:12">
      <c r="A164" s="22"/>
      <c r="B164" s="22"/>
      <c r="C164" s="116" t="s">
        <v>292</v>
      </c>
      <c r="D164" s="117" t="s">
        <v>210</v>
      </c>
      <c r="E164" s="116" t="s">
        <v>292</v>
      </c>
      <c r="F164" s="117" t="s">
        <v>210</v>
      </c>
      <c r="G164" s="116" t="s">
        <v>292</v>
      </c>
      <c r="H164" s="117" t="s">
        <v>210</v>
      </c>
      <c r="I164" s="131" t="s">
        <v>292</v>
      </c>
      <c r="J164" s="132" t="s">
        <v>210</v>
      </c>
      <c r="K164" s="131" t="s">
        <v>292</v>
      </c>
      <c r="L164" s="132" t="s">
        <v>210</v>
      </c>
    </row>
    <row r="165" spans="1:12">
      <c r="A165" s="22"/>
      <c r="B165" s="22" t="s">
        <v>279</v>
      </c>
      <c r="C165" s="116" t="s">
        <v>293</v>
      </c>
      <c r="D165" s="117" t="s">
        <v>88</v>
      </c>
      <c r="E165" s="116" t="s">
        <v>293</v>
      </c>
      <c r="F165" s="117" t="s">
        <v>88</v>
      </c>
      <c r="G165" s="116" t="s">
        <v>293</v>
      </c>
      <c r="H165" s="117" t="s">
        <v>88</v>
      </c>
      <c r="I165" s="131" t="s">
        <v>293</v>
      </c>
      <c r="J165" s="132" t="s">
        <v>88</v>
      </c>
      <c r="K165" s="131" t="s">
        <v>293</v>
      </c>
      <c r="L165" s="132" t="s">
        <v>88</v>
      </c>
    </row>
    <row r="166" spans="1:12">
      <c r="A166" s="22"/>
      <c r="B166" s="22"/>
      <c r="C166" s="116" t="s">
        <v>292</v>
      </c>
      <c r="D166" s="117" t="s">
        <v>212</v>
      </c>
      <c r="E166" s="116" t="s">
        <v>292</v>
      </c>
      <c r="F166" s="117" t="s">
        <v>212</v>
      </c>
      <c r="G166" s="116" t="s">
        <v>292</v>
      </c>
      <c r="H166" s="117" t="s">
        <v>212</v>
      </c>
      <c r="I166" s="131" t="s">
        <v>292</v>
      </c>
      <c r="J166" s="132" t="s">
        <v>212</v>
      </c>
      <c r="K166" s="131" t="s">
        <v>292</v>
      </c>
      <c r="L166" s="132" t="s">
        <v>212</v>
      </c>
    </row>
    <row r="167" spans="1:12">
      <c r="A167" s="21" t="s">
        <v>546</v>
      </c>
      <c r="B167" s="22" t="s">
        <v>280</v>
      </c>
      <c r="C167" s="116" t="s">
        <v>293</v>
      </c>
      <c r="D167" s="117" t="s">
        <v>162</v>
      </c>
      <c r="E167" s="116" t="s">
        <v>293</v>
      </c>
      <c r="F167" s="117" t="s">
        <v>162</v>
      </c>
      <c r="G167" s="116" t="s">
        <v>293</v>
      </c>
      <c r="H167" s="117" t="s">
        <v>162</v>
      </c>
      <c r="I167" s="131" t="s">
        <v>293</v>
      </c>
      <c r="J167" s="132" t="s">
        <v>162</v>
      </c>
      <c r="K167" s="131" t="s">
        <v>293</v>
      </c>
      <c r="L167" s="132" t="s">
        <v>162</v>
      </c>
    </row>
    <row r="168" spans="1:12">
      <c r="A168" s="22"/>
      <c r="B168" s="22"/>
      <c r="C168" s="116" t="s">
        <v>544</v>
      </c>
      <c r="D168" s="117">
        <v>9040</v>
      </c>
      <c r="E168" s="116" t="s">
        <v>544</v>
      </c>
      <c r="F168" s="117">
        <v>9040</v>
      </c>
      <c r="G168" s="116" t="s">
        <v>544</v>
      </c>
      <c r="H168" s="117">
        <v>9040</v>
      </c>
      <c r="I168" s="131" t="s">
        <v>544</v>
      </c>
      <c r="J168" s="132">
        <v>9040</v>
      </c>
      <c r="K168" s="131" t="s">
        <v>544</v>
      </c>
      <c r="L168" s="132">
        <v>9040</v>
      </c>
    </row>
    <row r="169" spans="1:12">
      <c r="A169" s="22"/>
      <c r="B169" s="22" t="s">
        <v>285</v>
      </c>
      <c r="C169" s="116" t="s">
        <v>293</v>
      </c>
      <c r="D169" s="117" t="s">
        <v>168</v>
      </c>
      <c r="E169" s="116" t="s">
        <v>293</v>
      </c>
      <c r="F169" s="117" t="s">
        <v>168</v>
      </c>
      <c r="G169" s="116" t="s">
        <v>293</v>
      </c>
      <c r="H169" s="117" t="s">
        <v>168</v>
      </c>
      <c r="I169" s="131" t="s">
        <v>293</v>
      </c>
      <c r="J169" s="132" t="s">
        <v>168</v>
      </c>
      <c r="K169" s="131" t="s">
        <v>293</v>
      </c>
      <c r="L169" s="132" t="s">
        <v>168</v>
      </c>
    </row>
    <row r="170" spans="1:12" s="115" customFormat="1" ht="15.75" thickBot="1">
      <c r="A170" s="104"/>
      <c r="B170" s="104" t="s">
        <v>286</v>
      </c>
      <c r="C170" s="102" t="s">
        <v>293</v>
      </c>
      <c r="D170" s="103" t="s">
        <v>162</v>
      </c>
      <c r="E170" s="102" t="s">
        <v>293</v>
      </c>
      <c r="F170" s="103" t="s">
        <v>162</v>
      </c>
      <c r="G170" s="102" t="s">
        <v>293</v>
      </c>
      <c r="H170" s="103" t="s">
        <v>162</v>
      </c>
      <c r="I170" s="102" t="s">
        <v>293</v>
      </c>
      <c r="J170" s="103" t="s">
        <v>162</v>
      </c>
      <c r="K170" s="102" t="s">
        <v>293</v>
      </c>
      <c r="L170" s="103" t="s">
        <v>162</v>
      </c>
    </row>
    <row r="171" spans="1:12" s="37" customFormat="1" ht="15.75" thickBot="1">
      <c r="A171" s="119"/>
      <c r="B171" s="120" t="s">
        <v>553</v>
      </c>
      <c r="C171" s="121" t="s">
        <v>554</v>
      </c>
      <c r="D171" s="122" t="s">
        <v>555</v>
      </c>
      <c r="E171" s="121" t="s">
        <v>554</v>
      </c>
      <c r="F171" s="122" t="s">
        <v>555</v>
      </c>
      <c r="G171" s="121" t="s">
        <v>554</v>
      </c>
      <c r="H171" s="122" t="s">
        <v>555</v>
      </c>
      <c r="I171" s="121" t="s">
        <v>554</v>
      </c>
      <c r="J171" s="122" t="s">
        <v>8</v>
      </c>
      <c r="K171" s="121" t="s">
        <v>554</v>
      </c>
      <c r="L171" s="122" t="s">
        <v>8</v>
      </c>
    </row>
    <row r="172" spans="1:12" ht="15" customHeight="1"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s="91" customFormat="1" ht="51.75" customHeight="1">
      <c r="A173" s="105"/>
      <c r="B173" s="106"/>
      <c r="C173" s="154" t="s">
        <v>550</v>
      </c>
      <c r="D173" s="155"/>
      <c r="E173" s="154" t="s">
        <v>551</v>
      </c>
      <c r="F173" s="155"/>
      <c r="G173" s="154" t="s">
        <v>551</v>
      </c>
      <c r="H173" s="155"/>
      <c r="I173" s="154" t="s">
        <v>574</v>
      </c>
      <c r="J173" s="155"/>
      <c r="K173" s="154" t="s">
        <v>575</v>
      </c>
      <c r="L173" s="155"/>
    </row>
    <row r="174" spans="1:12"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ht="15" customHeight="1"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1:12"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3:12"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3:12"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3:12"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3:12"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spans="3:12"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3:12"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spans="3:12"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3:12"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spans="3:12"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3:12"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3:12"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3:12"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3:12"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spans="3:12"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3:12"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spans="3:12"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3:12"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spans="3:12"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3:12"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3:12"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3:12"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3:12"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3:12"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spans="3:12"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spans="3:12"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spans="3:12"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spans="3:12"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3:12"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spans="3:12"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spans="3:12"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3:12"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spans="3:12"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3:12"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spans="3:12"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3:12"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spans="3:12"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spans="3:12"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spans="3:12"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spans="3:12"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spans="3:12"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spans="3:12"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spans="3:12"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spans="3:12"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spans="3:12"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spans="3:12"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spans="3:12"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spans="3:12"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spans="3:12"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spans="3:12"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spans="3:12"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spans="3:12"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spans="3:12"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spans="3:12"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spans="3:12"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spans="3:12"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3:12"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spans="3:12"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3:12"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spans="3:12"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spans="3:12"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spans="3:12"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spans="3:12"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spans="3:12"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spans="3:12"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spans="3:12"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spans="3:12"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3:12"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spans="3:12"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spans="3:12"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spans="3:12"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spans="3:12"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spans="3:12"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spans="3:12"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3:12"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spans="3:12"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spans="3:12"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spans="3:12"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spans="3:12"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spans="3:12"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spans="3:12"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spans="3:12"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spans="3:12"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spans="3:12"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spans="3:12"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spans="3:12"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spans="3:12"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spans="3:12"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spans="3:12"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spans="3:12"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3:12"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3:12"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spans="3:12"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spans="3:12"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spans="3:12"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spans="3:12"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spans="3:12"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spans="3:12"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spans="3:12"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spans="3:12"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spans="3:12"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spans="3:12"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spans="3:12"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spans="3:12"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spans="3:12"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spans="3:12"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spans="3:12"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spans="3:12"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spans="3:12"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spans="3:12"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spans="3:12"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spans="3:12"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spans="3:12"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spans="3:12"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spans="3:12"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spans="3:12"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spans="3:12"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spans="3:12"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spans="3:12"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spans="3:12"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spans="3:12"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spans="3:12"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spans="3:12"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spans="3:12"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spans="3:12"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spans="3:12"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spans="3:12"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spans="3:12"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 spans="3:12"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 spans="3:12"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 spans="3:12"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 spans="3:12"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 spans="3:12"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 spans="3:12"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 spans="3:12"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 spans="3:12"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 spans="3:12"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 spans="3:12"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 spans="3:12"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 spans="3:12"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 spans="3:12"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 spans="3:12"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 spans="3:12"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 spans="3:12"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 spans="3:12"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 spans="3:12"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 spans="3:12"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spans="3:12"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 spans="3:12"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 spans="3:12"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 spans="3:12"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 spans="3:12"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 spans="3:12"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 spans="3:12"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 spans="3:12"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 spans="3:12"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 spans="3:12"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 spans="3:12"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 spans="3:12"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 spans="3:12"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 spans="3:12"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 spans="3:12"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 spans="3:12"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 spans="3:12"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 spans="3:12"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 spans="3:12"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 spans="3:12"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 spans="3:12"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 spans="3:12"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 spans="3:12"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 spans="3:12"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 spans="3:12"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 spans="3:12"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 spans="3:12"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 spans="3:12"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 spans="3:12"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 spans="3:12"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 spans="3:12"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 spans="3:12"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 spans="3:12"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 spans="3:12"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 spans="3:12"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spans="3:12"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 spans="3:12"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 spans="3:12"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 spans="3:12"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 spans="3:12"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 spans="3:12"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 spans="3:12"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 spans="3:12"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 spans="3:12"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 spans="3:12"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 spans="3:12"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 spans="3:12"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 spans="3:12"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 spans="3:12"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 spans="3:12"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 spans="3:12"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 spans="3:12"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 spans="3:12"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 spans="3:12"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 spans="3:12"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 spans="3:12"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 spans="3:12"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 spans="3:12"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 spans="3:12"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 spans="3:12"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 spans="3:12"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 spans="3:12"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 spans="3:12"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 spans="3:12"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 spans="3:12"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 spans="3:12"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 spans="3:12"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 spans="3:12"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 spans="3:12"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 spans="3:12"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 spans="3:12"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 spans="3:12"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 spans="3:12"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 spans="3:12"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 spans="3:12"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 spans="3:12"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 spans="3:12"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 spans="3:12"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 spans="3:12"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 spans="3:12"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 spans="3:12"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 spans="3:12"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 spans="3:12"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 spans="3:12"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 spans="3:12"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 spans="3:12"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 spans="3:12"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 spans="3:12"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 spans="3:12"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 spans="3:12"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 spans="3:12"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 spans="3:12"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 spans="3:12"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 spans="3:12"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 spans="3:12"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 spans="3:12"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 spans="3:12"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 spans="3:12"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 spans="3:12"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 spans="3:12"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 spans="3:12"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 spans="3:12"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 spans="3:12"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 spans="3:12"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 spans="3:12"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spans="3:12"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 spans="3:12"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 spans="3:12"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 spans="3:12"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 spans="3:12"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 spans="3:12"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 spans="3:12"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 spans="3:12"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 spans="3:12"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 spans="3:12"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 spans="3:12"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 spans="3:12"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spans="3:12"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 spans="3:12"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 spans="3:12"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 spans="3:12"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 spans="3:12"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 spans="3:12"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 spans="3:12"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 spans="3:12"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 spans="3:12"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 spans="3:12"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 spans="3:12"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 spans="3:12"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 spans="3:12"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 spans="3:12"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 spans="3:12"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 spans="3:12"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 spans="3:12"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 spans="3:12"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 spans="3:12"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 spans="3:12"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 spans="3:12"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 spans="3:12"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 spans="3:12"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 spans="3:12"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 spans="3:12"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 spans="3:12"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 spans="3:12"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 spans="3:12"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 spans="3:12"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 spans="3:12"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 spans="3:12"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 spans="3:12"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 spans="3:12"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 spans="3:12"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 spans="3:12"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 spans="3:12"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 spans="3:12"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 spans="3:12"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 spans="3:12"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 spans="3:12"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 spans="3:12"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 spans="3:12"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 spans="3:12"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 spans="3:12"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 spans="3:12"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 spans="3:12"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 spans="3:12"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 spans="3:12"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 spans="3:12"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 spans="3:12"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 spans="3:12"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 spans="3:12"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 spans="3:12"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 spans="3:12"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 spans="3:12"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 spans="3:12"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 spans="3:12"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 spans="3:12"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spans="3:12"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 spans="3:12"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 spans="3:12"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 spans="3:12"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 spans="3:12"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 spans="3:12"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 spans="3:12"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 spans="3:12"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 spans="3:12"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 spans="3:12"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 spans="3:12"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 spans="3:12"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 spans="3:12"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 spans="3:12"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 spans="3:12"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 spans="3:12"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 spans="3:12"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 spans="3:12"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 spans="3:12"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 spans="3:12"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 spans="3:12"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 spans="3:12"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 spans="3:12"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 spans="3:12"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 spans="3:12"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 spans="3:12"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 spans="3:12"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 spans="3:12"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 spans="3:12"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 spans="3:12"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 spans="3:12"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 spans="3:12"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 spans="3:12"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 spans="3:12"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 spans="3:12"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 spans="3:12"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 spans="3:12"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 spans="3:12"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 spans="3:12"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 spans="3:12"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 spans="3:12"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 spans="3:12"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 spans="3:12"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 spans="3:12"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 spans="3:12"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 spans="3:12"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 spans="3:12"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 spans="3:12"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 spans="3:12"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 spans="3:12"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 spans="3:12"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 spans="3:12"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 spans="3:12"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 spans="3:12"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 spans="3:12"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 spans="3:12"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 spans="3:12"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 spans="3:12"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 spans="3:12"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 spans="3:12"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 spans="3:12"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 spans="3:12"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 spans="3:12"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 spans="3:12"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 spans="3:12"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 spans="3:12"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 spans="3:12"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 spans="3:12"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 spans="3:12"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 spans="3:12"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 spans="3:12"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 spans="3:12"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 spans="3:12"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 spans="3:12"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 spans="3:12"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 spans="3:12"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 spans="3:12"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 spans="3:12"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 spans="3:12"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 spans="3:12"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 spans="3:12"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 spans="3:12"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 spans="3:12"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 spans="3:12"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 spans="3:12"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 spans="3:12"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 spans="3:12"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 spans="3:12"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 spans="3:12"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 spans="3:12"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 spans="3:12"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 spans="3:12"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 spans="3:12"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 spans="3:12"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 spans="3:12"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 spans="3:12"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 spans="3:12"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 spans="3:12"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 spans="3:12"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 spans="3:12"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 spans="3:12"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 spans="3:12"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 spans="3:12"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 spans="3:12"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 spans="3:12"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 spans="3:12"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 spans="3:12"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 spans="3:12"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 spans="3:12"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 spans="3:12"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 spans="3:12"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 spans="3:12"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 spans="3:12"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 spans="3:12"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 spans="3:12"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 spans="3:12"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 spans="3:12"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 spans="3:12"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 spans="3:12"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 spans="3:12"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 spans="3:12"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 spans="3:12"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 spans="3:12"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 spans="3:12"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 spans="3:12"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 spans="3:12"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 spans="3:12"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 spans="3:12"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 spans="3:12"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 spans="3:12"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 spans="3:12"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 spans="3:12"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 spans="3:12"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 spans="3:12"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 spans="3:12"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 spans="3:12"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 spans="3:12"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 spans="3:12"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 spans="3:12"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 spans="3:12"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 spans="3:12"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 spans="3:12"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 spans="3:12"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 spans="1:12"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 spans="1:12"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 spans="1:12" ht="15.75" thickBo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</row>
    <row r="645" spans="1:12" s="88" customFormat="1" ht="61.5" customHeight="1">
      <c r="A645" s="126"/>
      <c r="B645" s="87"/>
      <c r="C645" s="146"/>
      <c r="D645" s="147"/>
      <c r="E645" s="146"/>
      <c r="F645" s="147"/>
      <c r="G645" s="146"/>
      <c r="H645" s="147"/>
      <c r="I645" s="146"/>
      <c r="J645" s="147"/>
      <c r="K645" s="146"/>
      <c r="L645" s="147"/>
    </row>
  </sheetData>
  <mergeCells count="41">
    <mergeCell ref="A9:B9"/>
    <mergeCell ref="A8:B8"/>
    <mergeCell ref="A6:B6"/>
    <mergeCell ref="A5:B5"/>
    <mergeCell ref="A14:B14"/>
    <mergeCell ref="A13:B13"/>
    <mergeCell ref="A12:B12"/>
    <mergeCell ref="A11:B11"/>
    <mergeCell ref="A10:B10"/>
    <mergeCell ref="G645:H645"/>
    <mergeCell ref="E645:F645"/>
    <mergeCell ref="C645:D645"/>
    <mergeCell ref="E173:F173"/>
    <mergeCell ref="C173:D173"/>
    <mergeCell ref="A16:B16"/>
    <mergeCell ref="A17:B17"/>
    <mergeCell ref="A18:B18"/>
    <mergeCell ref="A19:B19"/>
    <mergeCell ref="A21:B21"/>
    <mergeCell ref="C3:D3"/>
    <mergeCell ref="E2:F2"/>
    <mergeCell ref="A2:B3"/>
    <mergeCell ref="C2:D2"/>
    <mergeCell ref="A4:B4"/>
    <mergeCell ref="C4:D4"/>
    <mergeCell ref="E4:F4"/>
    <mergeCell ref="G2:H2"/>
    <mergeCell ref="G3:H3"/>
    <mergeCell ref="G4:H4"/>
    <mergeCell ref="G173:H173"/>
    <mergeCell ref="E3:F3"/>
    <mergeCell ref="K645:L645"/>
    <mergeCell ref="I2:J2"/>
    <mergeCell ref="K2:L2"/>
    <mergeCell ref="I3:J3"/>
    <mergeCell ref="K3:L3"/>
    <mergeCell ref="I4:J4"/>
    <mergeCell ref="K4:L4"/>
    <mergeCell ref="I173:J173"/>
    <mergeCell ref="K173:L173"/>
    <mergeCell ref="I645:J645"/>
  </mergeCells>
  <phoneticPr fontId="2" type="noConversion"/>
  <conditionalFormatting sqref="C20">
    <cfRule type="expression" dxfId="9" priority="69">
      <formula>IF(LEFT(#REF!, 2)="03", TRUE, FALSE)</formula>
    </cfRule>
  </conditionalFormatting>
  <conditionalFormatting sqref="C19">
    <cfRule type="expression" dxfId="8" priority="55">
      <formula>IF(LEFT(#REF!, 2)="03", TRUE, FALSE)</formula>
    </cfRule>
  </conditionalFormatting>
  <conditionalFormatting sqref="E20">
    <cfRule type="expression" dxfId="7" priority="24">
      <formula>IF(LEFT(#REF!, 2)="03", TRUE, FALSE)</formula>
    </cfRule>
  </conditionalFormatting>
  <conditionalFormatting sqref="E19">
    <cfRule type="expression" dxfId="6" priority="23">
      <formula>IF(LEFT(#REF!, 2)="03", TRUE, FALSE)</formula>
    </cfRule>
  </conditionalFormatting>
  <conditionalFormatting sqref="G20">
    <cfRule type="expression" dxfId="5" priority="22">
      <formula>IF(LEFT(#REF!, 2)="03", TRUE, FALSE)</formula>
    </cfRule>
  </conditionalFormatting>
  <conditionalFormatting sqref="G19">
    <cfRule type="expression" dxfId="4" priority="21">
      <formula>IF(LEFT(#REF!, 2)="03", TRUE, FALSE)</formula>
    </cfRule>
  </conditionalFormatting>
  <conditionalFormatting sqref="K19">
    <cfRule type="expression" dxfId="3" priority="1">
      <formula>IF(LEFT(#REF!, 2)="03", TRUE, FALSE)</formula>
    </cfRule>
  </conditionalFormatting>
  <conditionalFormatting sqref="I20">
    <cfRule type="expression" dxfId="2" priority="6">
      <formula>IF(LEFT(#REF!, 2)="03", TRUE, FALSE)</formula>
    </cfRule>
  </conditionalFormatting>
  <conditionalFormatting sqref="I19">
    <cfRule type="expression" dxfId="1" priority="5">
      <formula>IF(LEFT(#REF!, 2)="03", TRUE, FALSE)</formula>
    </cfRule>
  </conditionalFormatting>
  <conditionalFormatting sqref="K20">
    <cfRule type="expression" dxfId="0" priority="2">
      <formula>IF(LEFT(#REF!, 2)="03", TRUE, 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init</vt:lpstr>
      <vt:lpstr>CTS related register</vt:lpstr>
      <vt:lpstr>mode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hyeonji</dc:creator>
  <cp:lastModifiedBy>SAMSUNG</cp:lastModifiedBy>
  <dcterms:created xsi:type="dcterms:W3CDTF">2015-11-17T08:21:51Z</dcterms:created>
  <dcterms:modified xsi:type="dcterms:W3CDTF">2024-04-18T08:31:07Z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C:\Users\kiryel.ko\AppData\Local\Microsoft\Windows\INetCache\IE\01BXNYVM\S5K3T1SP_EVT1_Reference_Setfile_v0.3a.xlsx</vt:lpwstr>
  </property>
</Properties>
</file>